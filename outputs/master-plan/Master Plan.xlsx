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LENOVO\PtrPMDV\outputs\master-plan\"/>
    </mc:Choice>
  </mc:AlternateContent>
  <xr:revisionPtr revIDLastSave="0" documentId="13_ncr:1_{4C91297C-8DC7-48EC-BE01-B58F9896F31B}" xr6:coauthVersionLast="45" xr6:coauthVersionMax="45" xr10:uidLastSave="{00000000-0000-0000-0000-000000000000}"/>
  <bookViews>
    <workbookView xWindow="-110" yWindow="-110" windowWidth="25820" windowHeight="15500" activeTab="1" xr2:uid="{00000000-000D-0000-FFFF-FFFF00000000}"/>
  </bookViews>
  <sheets>
    <sheet name="Summary" sheetId="1" r:id="rId1"/>
    <sheet name="Plan" sheetId="2" r:id="rId2"/>
    <sheet name="Ha tang" sheetId="3" r:id="rId3"/>
    <sheet name="SQL coverage" sheetId="4" r:id="rId4"/>
    <sheet name="Yeu cau" sheetId="5" r:id="rId5"/>
  </sheets>
  <calcPr calcId="191029" forceFullCalc="1"/>
</workbook>
</file>

<file path=xl/calcChain.xml><?xml version="1.0" encoding="utf-8"?>
<calcChain xmlns="http://schemas.openxmlformats.org/spreadsheetml/2006/main">
  <c r="G55" i="2" l="1"/>
  <c r="F55" i="2" s="1"/>
  <c r="G49" i="2"/>
  <c r="F49" i="2" s="1"/>
  <c r="G45" i="2"/>
  <c r="B23" i="1" s="1"/>
  <c r="G41" i="2"/>
  <c r="F41" i="2" s="1"/>
  <c r="G37" i="2"/>
  <c r="F37" i="2" s="1"/>
  <c r="G27" i="2"/>
  <c r="B20" i="1" s="1"/>
  <c r="G20" i="2"/>
  <c r="B19" i="1" s="1"/>
  <c r="G12" i="2"/>
  <c r="B18" i="1" s="1"/>
  <c r="G4" i="2"/>
  <c r="F4" i="2" s="1"/>
  <c r="G5" i="1"/>
  <c r="E5" i="1"/>
  <c r="C5" i="1"/>
  <c r="A5" i="1"/>
  <c r="B21" i="1" l="1"/>
  <c r="F12" i="2"/>
  <c r="F20" i="2"/>
  <c r="G26" i="2"/>
  <c r="F26" i="2" s="1"/>
  <c r="F27" i="2"/>
  <c r="G36" i="2"/>
  <c r="F36" i="2" s="1"/>
  <c r="B22" i="1"/>
  <c r="B17" i="1"/>
  <c r="B24" i="1"/>
  <c r="F45" i="2"/>
  <c r="B25" i="1"/>
  <c r="G3" i="2"/>
  <c r="F3" i="2" s="1"/>
</calcChain>
</file>

<file path=xl/sharedStrings.xml><?xml version="1.0" encoding="utf-8"?>
<sst xmlns="http://schemas.openxmlformats.org/spreadsheetml/2006/main" count="823" uniqueCount="470">
  <si>
    <t>MASTER PLAN - FOOD DELIVERY MANAGEMENT SYSTEM</t>
  </si>
  <si>
    <t>Kế hoạch triển khai bám theo food_delivery_db.sql và yêu cầu bài tập lớn | Cập nhật: 26/09/2026</t>
  </si>
  <si>
    <t>Tiến độ công việc</t>
  </si>
  <si>
    <t>Đã hoàn thành</t>
  </si>
  <si>
    <t>Đang thực hiện</t>
  </si>
  <si>
    <t>Chưa thực hiện</t>
  </si>
  <si>
    <t>Mốc hiện tại</t>
  </si>
  <si>
    <t>3.5/20</t>
  </si>
  <si>
    <t>Phạm vi và tiến độ thực tế</t>
  </si>
  <si>
    <t>Backend hiện tại</t>
  </si>
  <si>
    <t>Node.js + Express, ES modules, MySQL2</t>
  </si>
  <si>
    <t>Database</t>
  </si>
  <si>
    <t>MySQL 8.0+ | 66 bảng | 62 index | 8 view | 15 trigger</t>
  </si>
  <si>
    <t>4 vai trò</t>
  </si>
  <si>
    <t>ADMIN | RESTAURANT | SHIPPER | CUSTOMER</t>
  </si>
  <si>
    <t>Đã triển khai</t>
  </si>
  <si>
    <t>API foundation, auth/RBAC, restaurant/menu, catalog search, promotion/favorites, cart/checkout, restaurant order state machine, notification and test workflow 2.2-3.5</t>
  </si>
  <si>
    <t>Còn xác nhận</t>
  </si>
  <si>
    <t>Còn xác nhận: MySQL end-to-end trên môi trường triển khai, Redis/realtime/GPS, Docker/CI và các nhóm 4.x trở đi</t>
  </si>
  <si>
    <t>Tiến độ theo nhóm công việc</t>
  </si>
  <si>
    <t>Nhóm</t>
  </si>
  <si>
    <t>Tiến độ</t>
  </si>
  <si>
    <t>1 - Nền tảng</t>
  </si>
  <si>
    <t>2 - Nhà hàng/menu</t>
  </si>
  <si>
    <t>3 - Đặt món</t>
  </si>
  <si>
    <t>4 - Giao hàng/thanh toán</t>
  </si>
  <si>
    <t>5 - Nhập/xuất/job</t>
  </si>
  <si>
    <t>6 - Bảo mật/giám sát</t>
  </si>
  <si>
    <t>7 - Kiểm thử</t>
  </si>
  <si>
    <t>8 - Bàn giao</t>
  </si>
  <si>
    <t>9 - Nghiệm thu</t>
  </si>
  <si>
    <t>ID</t>
  </si>
  <si>
    <t>Công việc</t>
  </si>
  <si>
    <t>Người chịu trách nhiệm chính</t>
  </si>
  <si>
    <t>Ước lượng thời gian</t>
  </si>
  <si>
    <t>Deadline</t>
  </si>
  <si>
    <t>Trạng thái</t>
  </si>
  <si>
    <t>Tỉ lệ/Mức độ hoàn thành</t>
  </si>
  <si>
    <t>Tháng 9/2026</t>
  </si>
  <si>
    <t>Tháng 10/2026</t>
  </si>
  <si>
    <t>Tháng 11/2026</t>
  </si>
  <si>
    <t>A</t>
  </si>
  <si>
    <t>Sprint 1 - Core platform, catalog &amp; ordering</t>
  </si>
  <si>
    <t>Dương</t>
  </si>
  <si>
    <t>4w</t>
  </si>
  <si>
    <t>1</t>
  </si>
  <si>
    <t>Nền tảng, tài khoản &amp; phân quyền</t>
  </si>
  <si>
    <t>2w</t>
  </si>
  <si>
    <t>1.1</t>
  </si>
  <si>
    <t>SRS, ERD, use case/flow và sơ đồ kiến trúc hệ thống</t>
  </si>
  <si>
    <t>1d</t>
  </si>
  <si>
    <t>1.2</t>
  </si>
  <si>
    <t>SQL schema v1 theo food_delivery_db.sql: 66 bảng, khóa ngoại, index, view và trigger</t>
  </si>
  <si>
    <t>2d</t>
  </si>
  <si>
    <t>1.3</t>
  </si>
  <si>
    <t>Node.js API foundation: Express, env validation, MySQL pool/transaction, lỗi HTTP, liveness/readiness và graceful shutdown</t>
  </si>
  <si>
    <t>1.4</t>
  </si>
  <si>
    <t>Đăng ký/đăng nhập JWT, access/refresh token, hash mật khẩu, logout, /me và login_history</t>
  </si>
  <si>
    <t>3d</t>
  </si>
  <si>
    <t>1.5</t>
  </si>
  <si>
    <t>RBAC 4 vai trò, permission theo hành động, reset/email verification, audit log và soft-delete</t>
  </si>
  <si>
    <t>4d</t>
  </si>
  <si>
    <t>1.6</t>
  </si>
  <si>
    <t>Hồ sơ khách hàng và địa chỉ giao hàng: CRUD, mặc định, xóa mềm, kiểm tra quyền và audit</t>
  </si>
  <si>
    <t>1.7</t>
  </si>
  <si>
    <t>Design system Tailwind CSS thống nhất màu sắc, bố cục, typography, spacing và component cho Food Delivery; UI đăng ký/đăng nhập/hồ sơ 4 vai trò</t>
  </si>
  <si>
    <t>2</t>
  </si>
  <si>
    <t>Nhà hàng &amp; menu</t>
  </si>
  <si>
    <t>3w</t>
  </si>
  <si>
    <t>2.1</t>
  </si>
  <si>
    <t>CRUD restaurant_categories, restaurants, operating_hours, restaurant_images; validation, audit, xóa mềm</t>
  </si>
  <si>
    <t>2.2</t>
  </si>
  <si>
    <t>CRUD menus, menu_categories, menu_items; giá gốc/giảm, trạng thái bán và thông tin món</t>
  </si>
  <si>
    <t>2.3</t>
  </si>
  <si>
    <t>Variants, topping_groups, toppings và liên kết topping theo món; kiểm tra min/max lựa chọn</t>
  </si>
  <si>
    <t>2.4</t>
  </si>
  <si>
    <t>Catalog cho khách: tìm kiếm/lọc/sắp xếp/phân trang nhà hàng và menu; lưu search_history</t>
  </si>
  <si>
    <t>2.5</t>
  </si>
  <si>
    <t>Promotions, promotion_usage, banners, favorite restaurants/menu items theo đúng quan hệ SQL</t>
  </si>
  <si>
    <t>2.6</t>
  </si>
  <si>
    <t>Seed dữ liệu mẫu tối thiểu 2.000 bản ghi, kiểm tra khóa ngoại và bộ dữ liệu demo 4 vai trò</t>
  </si>
  <si>
    <t>2.7</t>
  </si>
  <si>
    <t>Quản lý ảnh/icon dùng chung: chọn, upload, thay và xóa; toolbar crop, xoay, zoom, căn khung/reset; aspect-ratio, object-fit và thumbnail đồng đều, không kéo méo ảnh</t>
  </si>
  <si>
    <t>3</t>
  </si>
  <si>
    <t>Giỏ hàng, đặt món &amp; xử lý đơn</t>
  </si>
  <si>
    <t>1.5w</t>
  </si>
  <si>
    <t>3.1</t>
  </si>
  <si>
    <t>Giỏ hàng theo khách/nhà hàng: carts, cart_items, cart_item_toppings; cập nhật số lượng và giá snapshot</t>
  </si>
  <si>
    <t>3.2</t>
  </si>
  <si>
    <t>Checkout tạo orders, order_items, order_item_toppings bằng transaction và idempotency key</t>
  </si>
  <si>
    <t>3.3</t>
  </si>
  <si>
    <t>Nhà hàng xác nhận/từ chối, chuẩn bị món; order_status_history và quy tắc chuyển trạng thái</t>
  </si>
  <si>
    <t>3.4</t>
  </si>
  <si>
    <t>UI đặt món: chọn địa chỉ, ghi chú, phí, khuyến mãi và phương thức thanh toán</t>
  </si>
  <si>
    <t>3.5</t>
  </si>
  <si>
    <t>Integration workflow đặt món - xác nhận - chuẩn bị; kiểm tra lỗi nghiệp vụ và audit</t>
  </si>
  <si>
    <t>B</t>
  </si>
  <si>
    <t>Sprint 2 - Delivery, payment &amp; operations</t>
  </si>
  <si>
    <t>2.5w</t>
  </si>
  <si>
    <t>4</t>
  </si>
  <si>
    <t>Shipper, giao hàng, thanh toán &amp; hậu mãi</t>
  </si>
  <si>
    <t>4.1</t>
  </si>
  <si>
    <t>Hồ sơ shipper, giấy tờ, trạng thái sẵn sàng và delivery_assignments; phân quyền nhận đơn</t>
  </si>
  <si>
    <t>4.2</t>
  </si>
  <si>
    <t>Deliveries, delivery_status_history, shipper_locations, delivery_zones; quy trình nhận - giao</t>
  </si>
  <si>
    <t>4.3</t>
  </si>
  <si>
    <t>GPS tracking và cập nhật realtime vị trí/trạng thái giao hàng cho khách, nhà hàng, shipper</t>
  </si>
  <si>
    <t>4.4</t>
  </si>
  <si>
    <t>Payments, payment_transactions, COD; gateway giả lập, retry, callback và xử lý thất bại</t>
  </si>
  <si>
    <t>4.5</t>
  </si>
  <si>
    <t>Invoices, xuất hóa đơn PDF và tra cứu theo order_code; dữ liệu lấy từ snapshot đơn hàng</t>
  </si>
  <si>
    <t>4.6</t>
  </si>
  <si>
    <t>Notifications, preferences, chat theo đơn, review nhà hàng/shipper và support tickets</t>
  </si>
  <si>
    <t>4.7</t>
  </si>
  <si>
    <t>Hủy đơn, refund, ví khách hàng và wallet_transactions; kiểm soát hoàn tiền theo trạng thái</t>
  </si>
  <si>
    <t>4.8</t>
  </si>
  <si>
    <t>Earnings/withdrawals của shipper và settlement/commission của nhà hàng; báo cáo đối soát</t>
  </si>
  <si>
    <t>C</t>
  </si>
  <si>
    <t>Sprint 3 - Quality, deployment &amp; handover</t>
  </si>
  <si>
    <t>5</t>
  </si>
  <si>
    <t>Nhập/xuất, báo cáo &amp; tác vụ nền</t>
  </si>
  <si>
    <t>1w</t>
  </si>
  <si>
    <t>5.1</t>
  </si>
  <si>
    <t>Import Excel/CSV cho nhà hàng, menu và dữ liệu demo; lưu import_jobs và kết quả từng dòng</t>
  </si>
  <si>
    <t>5.2</t>
  </si>
  <si>
    <t>Export CSV/Excel/PDF cho đơn, doanh thu, shipper và restaurant settlement; lưu export_jobs</t>
  </si>
  <si>
    <t>5.3</t>
  </si>
  <si>
    <t>Background jobs cho mail, export lớn và dọn token; retry, trạng thái job và log lỗi</t>
  </si>
  <si>
    <t>6</t>
  </si>
  <si>
    <t>Bảo mật, hiệu năng &amp; giám sát</t>
  </si>
  <si>
    <t>6.1</t>
  </si>
  <si>
    <t>Rà SQL injection/XSS/CSRF, validation, CORS, rate limit, upload và secret; khóa API theo quyền</t>
  </si>
  <si>
    <t>6.2</t>
  </si>
  <si>
    <t>Redis cache cho catalog/báo cáo, invalidation khi cập nhật menu và giới hạn truy vấn nặng</t>
  </si>
  <si>
    <t>6.3</t>
  </si>
  <si>
    <t>Structured logging, health/readiness check, audit hành động nhạy cảm và cấu hình system_settings</t>
  </si>
  <si>
    <t>7</t>
  </si>
  <si>
    <t>Kiểm thử &amp; chất lượng</t>
  </si>
  <si>
    <t>7.1</t>
  </si>
  <si>
    <t>Unit test service: auth, địa chỉ, catalog, giỏ hàng, tính phí và chuyển trạng thái</t>
  </si>
  <si>
    <t>7.2</t>
  </si>
  <si>
    <t>Integration test API + MySQL: transaction, quyền, audit, idempotency, payment và rollback</t>
  </si>
  <si>
    <t>7.3</t>
  </si>
  <si>
    <t>E2E 4 vai trò, regression, kiểm tra seed &gt;= 2.000 và coverage mục tiêu 30-40%</t>
  </si>
  <si>
    <t>8</t>
  </si>
  <si>
    <t>Triển khai, tài liệu &amp; bàn giao</t>
  </si>
  <si>
    <t>8.1</t>
  </si>
  <si>
    <t>Docker Compose API + MySQL + Redis + MailHog; migration/seed và biến môi trường</t>
  </si>
  <si>
    <t>8.2</t>
  </si>
  <si>
    <t>CI/CD đơn giản: install, lint/check, test, build image và deploy thử</t>
  </si>
  <si>
    <t>8.3</t>
  </si>
  <si>
    <t>OpenAPI/Swagger đầy đủ, Postman collection và bộ request mẫu cho 4 vai trò</t>
  </si>
  <si>
    <t>8.4</t>
  </si>
  <si>
    <t>Hoàn thiện SRS, ERD, use case/flow, kiến trúc, hướng dẫn cài đặt và hướng dẫn sử dụng</t>
  </si>
  <si>
    <t>8.5</t>
  </si>
  <si>
    <t>Video demo 5-10 phút, checklist bàn giao, data mẫu và chạy thử end-to-end cuối</t>
  </si>
  <si>
    <t>9</t>
  </si>
  <si>
    <t>Ổn định cuối &amp; nghiệm thu</t>
  </si>
  <si>
    <t>0.5w</t>
  </si>
  <si>
    <t>9.1</t>
  </si>
  <si>
    <t>Smoke test sau triển khai, kiểm tra realtime/GPS, backup và khôi phục database</t>
  </si>
  <si>
    <t>9.2</t>
  </si>
  <si>
    <t>Sửa lỗi còn lại, tối ưu UX và chốt các tiêu chí nghiệm thu theo yêu cầu Word</t>
  </si>
  <si>
    <t>9.3</t>
  </si>
  <si>
    <t>Đóng gói bản nộp: source, SQL, Postman, video, tài liệu và biên bản kiểm tra</t>
  </si>
  <si>
    <t>HẠ TẦNG VÀ CÔNG NGHỆ - FOOD DELIVERY</t>
  </si>
  <si>
    <t>STT</t>
  </si>
  <si>
    <t>Hạng mục</t>
  </si>
  <si>
    <t>Công nghệ / phiên bản</t>
  </si>
  <si>
    <t>Hiện trạng / ghi chú</t>
  </si>
  <si>
    <t>Backend</t>
  </si>
  <si>
    <t>Node.js 20+ / Express 4 / ES modules</t>
  </si>
  <si>
    <t>Đã có env validation, MySQL pool/transaction, lỗi HTTP và graceful shutdown</t>
  </si>
  <si>
    <t>MySQL 8.0+ / food_delivery_db.sql</t>
  </si>
  <si>
    <t>66 bảng, 62 index, 8 view, 15 trigger; là nguồn dữ liệu chuẩn</t>
  </si>
  <si>
    <t>Frontend</t>
  </si>
  <si>
    <t>HTML, JavaScript, Tailwind CSS + design tokens dùng chung</t>
  </si>
  <si>
    <t>Đã có UI ordering/catalog/checkout cho customer, queue xử lý đơn cho restaurant và design tokens dùng chung</t>
  </si>
  <si>
    <t>Auth</t>
  </si>
  <si>
    <t>JWT access/refresh + node:crypto PBKDF2/HMAC</t>
  </si>
  <si>
    <t>Đã có register/login/logout/me, login_history, refresh token hash, reset mật khẩu và xác thực email</t>
  </si>
  <si>
    <t>Phân quyền</t>
  </si>
  <si>
    <t>RBAC ADMIN/RESTAURANT/SHIPPER/CUSTOMER</t>
  </si>
  <si>
    <t>Đã kiểm tra role và permission từ database, phủ middleware bằng unit test</t>
  </si>
  <si>
    <t>Audit</t>
  </si>
  <si>
    <t>audit_logs + request audit middleware</t>
  </si>
  <si>
    <t>Lưu thao tác web vào database để mở lại trong hệ thống</t>
  </si>
  <si>
    <t>Cache / realtime</t>
  </si>
  <si>
    <t>Redis + WebSocket/Socket.IO</t>
  </si>
  <si>
    <t>Đưa vào Sprint 3; phục vụ catalog, GPS và trạng thái đơn</t>
  </si>
  <si>
    <t>Job queue</t>
  </si>
  <si>
    <t>background_jobs + worker</t>
  </si>
  <si>
    <t>Đưa vào Sprint 3; mail, export lớn, dọn token</t>
  </si>
  <si>
    <t>Mail test</t>
  </si>
  <si>
    <t>MailHog</t>
  </si>
  <si>
    <t>Dùng trong Docker Compose khi làm notification</t>
  </si>
  <si>
    <t>PDF / report</t>
  </si>
  <si>
    <t>PDFKit + query từ các view báo cáo SQL</t>
  </si>
  <si>
    <t>Đưa vào Sprint 2-3</t>
  </si>
  <si>
    <t>Import / export</t>
  </si>
  <si>
    <t>CSV/Excel + import_jobs/export_jobs</t>
  </si>
  <si>
    <t>Đưa vào Sprint 3</t>
  </si>
  <si>
    <t>API docs</t>
  </si>
  <si>
    <t>OpenAPI/Swagger + Postman</t>
  </si>
  <si>
    <t>Đưa vào hạng mục 8.3</t>
  </si>
  <si>
    <t>Testing</t>
  </si>
  <si>
    <t>Node test runner + API integration/E2E</t>
  </si>
  <si>
    <t>Đã có 54 kiểm tra foundation, auth, RBAC, customer/address, validation, service và controller nhà hàng; coverage 30-40% hoàn thiện ở hạng mục 7.3</t>
  </si>
  <si>
    <t>Container</t>
  </si>
  <si>
    <t>Docker Compose: API + MySQL + Redis + MailHog</t>
  </si>
  <si>
    <t>Đưa vào hạng mục 8.1</t>
  </si>
  <si>
    <t>CI/CD</t>
  </si>
  <si>
    <t>Pipeline install - check - test - build - deploy</t>
  </si>
  <si>
    <t>Đưa vào hạng mục 8.2</t>
  </si>
  <si>
    <t>Logging</t>
  </si>
  <si>
    <t>Morgan/structured logging + health/readiness</t>
  </si>
  <si>
    <t>Đã có liveness/readiness và graceful shutdown; structured logging nâng cấp ở 6.3</t>
  </si>
  <si>
    <t>Media</t>
  </si>
  <si>
    <t>Image picker/editor + xử lý thumbnail</t>
  </si>
  <si>
    <t>Đã hoàn thành trong 2.7: image picker/editor, crop khung vuông, rotate/zoom/reset, thumbnail object-fit và upload API</t>
  </si>
  <si>
    <t>MA TRẬN BÁM SÁT DATABASE - food_delivery_db.sql</t>
  </si>
  <si>
    <t>Nhóm dữ liệu</t>
  </si>
  <si>
    <t>Bảng SQL</t>
  </si>
  <si>
    <t>Vai trò trong hệ thống</t>
  </si>
  <si>
    <t>Plan ID</t>
  </si>
  <si>
    <t>Trạng thái hiện tại</t>
  </si>
  <si>
    <t>Ghi chú</t>
  </si>
  <si>
    <t>Identity &amp; access</t>
  </si>
  <si>
    <t>roles</t>
  </si>
  <si>
    <t>Vai trò hệ thống</t>
  </si>
  <si>
    <t>Đã dùng cho auth/RBAC và middleware permission</t>
  </si>
  <si>
    <t>users</t>
  </si>
  <si>
    <t>Tài khoản dùng chung cho 4 vai trò</t>
  </si>
  <si>
    <t>1.4, 1.5, 2.7</t>
  </si>
  <si>
    <t>Upload ảnh JPEG/PNG/WebP, lưu an toàn, editor crop khung vuông/rotate/zoom/reset và object-fit.</t>
  </si>
  <si>
    <t>permissions</t>
  </si>
  <si>
    <t>Danh sách quyền theo hành động</t>
  </si>
  <si>
    <t>Đã dùng cho permission theo hành động</t>
  </si>
  <si>
    <t>role_permissions</t>
  </si>
  <si>
    <t>Gán quyền cho role</t>
  </si>
  <si>
    <t>Đã dùng cho gán quyền role</t>
  </si>
  <si>
    <t>customer_profiles</t>
  </si>
  <si>
    <t>Hồ sơ khách hàng</t>
  </si>
  <si>
    <t>Đã có API hồ sơ khách hàng, audit và test service</t>
  </si>
  <si>
    <t>customer_addresses</t>
  </si>
  <si>
    <t>Địa chỉ giao hàng</t>
  </si>
  <si>
    <t>Đã có CRUD địa chỉ, default/soft-delete/audit và test service</t>
  </si>
  <si>
    <t>Restaurant &amp; menu</t>
  </si>
  <si>
    <t>restaurant_categories</t>
  </si>
  <si>
    <t>Danh mục nhà hàng</t>
  </si>
  <si>
    <t>Đã hoàn tất API Node.js và test service/controller ở hạng mục 2.1</t>
  </si>
  <si>
    <t>restaurants</t>
  </si>
  <si>
    <t>Thông tin nhà hàng</t>
  </si>
  <si>
    <t>restaurant_operating_hours</t>
  </si>
  <si>
    <t>Giờ hoạt động</t>
  </si>
  <si>
    <t>restaurant_images</t>
  </si>
  <si>
    <t>Ảnh logo/cover/gallery</t>
  </si>
  <si>
    <t>2.1, 2.7</t>
  </si>
  <si>
    <t>menus</t>
  </si>
  <si>
    <t>Menu theo nhà hàng</t>
  </si>
  <si>
    <t>Menu API: CRUD menu/category/item, validation giá và trạng thái, soft-delete; đã gắn owner RBAC.</t>
  </si>
  <si>
    <t>menu_categories</t>
  </si>
  <si>
    <t>Nhóm món</t>
  </si>
  <si>
    <t>menu_items</t>
  </si>
  <si>
    <t>Món ăn, giá, trạng thái</t>
  </si>
  <si>
    <t>2.2, 2.7</t>
  </si>
  <si>
    <t>Menu API: CRUD menu/category/item, validation giá và trạng thái, soft-delete; đã gắn owner RBAC.; Upload ảnh JPEG/PNG/WebP, lưu an toàn, editor crop khung vuông/rotate/zoom/reset và object-fit.</t>
  </si>
  <si>
    <t>menu_item_variants</t>
  </si>
  <si>
    <t>Biến thể món</t>
  </si>
  <si>
    <t>Variant/topping API, liên kết topping theo món và kiểm tra min/max lựa chọn.</t>
  </si>
  <si>
    <t>topping_groups</t>
  </si>
  <si>
    <t>Nhóm topping</t>
  </si>
  <si>
    <t>toppings</t>
  </si>
  <si>
    <t>Topping và giá</t>
  </si>
  <si>
    <t>menu_item_topping_groups</t>
  </si>
  <si>
    <t>Liên kết món - nhóm topping</t>
  </si>
  <si>
    <t>Shipper</t>
  </si>
  <si>
    <t>shipper_profiles</t>
  </si>
  <si>
    <t>Hồ sơ và trạng thái shipper</t>
  </si>
  <si>
    <t>shipper_documents</t>
  </si>
  <si>
    <t>Giấy tờ shipper</t>
  </si>
  <si>
    <t>Cart &amp; ordering</t>
  </si>
  <si>
    <t>carts</t>
  </si>
  <si>
    <t>Giỏ theo khách và nhà hàng</t>
  </si>
  <si>
    <t>Cart theo customer/restaurant, cập nhật quantity/topping/note và snapshot giá.</t>
  </si>
  <si>
    <t>cart_items</t>
  </si>
  <si>
    <t>Món trong giỏ</t>
  </si>
  <si>
    <t>cart_item_toppings</t>
  </si>
  <si>
    <t>Topping trong giỏ</t>
  </si>
  <si>
    <t>orders</t>
  </si>
  <si>
    <t>Đơn hàng và snapshot địa chỉ</t>
  </si>
  <si>
    <t>Checkout transaction tạo order/order items/payment, tính lại phí/giá server và idempotency key.</t>
  </si>
  <si>
    <t>order_items</t>
  </si>
  <si>
    <t>Chi tiết món trong đơn</t>
  </si>
  <si>
    <t>order_item_toppings</t>
  </si>
  <si>
    <t>Topping trong đơn</t>
  </si>
  <si>
    <t>order_status_history</t>
  </si>
  <si>
    <t>Lịch sử trạng thái đơn</t>
  </si>
  <si>
    <t>Restaurant state machine PENDING -&gt; CONFIRMED -&gt; PREPARING -&gt; READY_FOR_PICKUP và reject.</t>
  </si>
  <si>
    <t>Delivery</t>
  </si>
  <si>
    <t>deliveries</t>
  </si>
  <si>
    <t>Thông tin chuyến giao</t>
  </si>
  <si>
    <t>delivery_status_history</t>
  </si>
  <si>
    <t>Lịch sử giao hàng</t>
  </si>
  <si>
    <t>shipper_locations</t>
  </si>
  <si>
    <t>Vị trí GPS shipper</t>
  </si>
  <si>
    <t>4.2, 4.3</t>
  </si>
  <si>
    <t>delivery_assignments</t>
  </si>
  <si>
    <t>Phân công đơn giao</t>
  </si>
  <si>
    <t>4.1, 4.2</t>
  </si>
  <si>
    <t>Payment &amp; invoice</t>
  </si>
  <si>
    <t>payments</t>
  </si>
  <si>
    <t>Thanh toán của đơn</t>
  </si>
  <si>
    <t>payment_transactions</t>
  </si>
  <si>
    <t>Giao dịch/callback thanh toán</t>
  </si>
  <si>
    <t>cod_transactions</t>
  </si>
  <si>
    <t>Thu hộ COD</t>
  </si>
  <si>
    <t>invoices</t>
  </si>
  <si>
    <t>Hóa đơn</t>
  </si>
  <si>
    <t>Promotion &amp; engagement</t>
  </si>
  <si>
    <t>promotions</t>
  </si>
  <si>
    <t>Mã/chiến dịch khuyến mãi</t>
  </si>
  <si>
    <t>Promotion CRUD/validation/usage, banners public và favorites restaurant/menu item.</t>
  </si>
  <si>
    <t>promotion_usage</t>
  </si>
  <si>
    <t>Lượt sử dụng khuyến mãi</t>
  </si>
  <si>
    <t>restaurant_reviews</t>
  </si>
  <si>
    <t>Đánh giá nhà hàng</t>
  </si>
  <si>
    <t>shipper_reviews</t>
  </si>
  <si>
    <t>Đánh giá shipper</t>
  </si>
  <si>
    <t>favorite_restaurants</t>
  </si>
  <si>
    <t>Nhà hàng yêu thích</t>
  </si>
  <si>
    <t>favorite_menu_items</t>
  </si>
  <si>
    <t>Món ăn yêu thích</t>
  </si>
  <si>
    <t>Communication</t>
  </si>
  <si>
    <t>notifications</t>
  </si>
  <si>
    <t>Thông báo in-app/email</t>
  </si>
  <si>
    <t>4.6, 5.3</t>
  </si>
  <si>
    <t>notification_preferences</t>
  </si>
  <si>
    <t>Tùy chọn nhận thông báo</t>
  </si>
  <si>
    <t>chat_sessions</t>
  </si>
  <si>
    <t>Phiên chat theo đơn</t>
  </si>
  <si>
    <t>chat_messages</t>
  </si>
  <si>
    <t>Tin nhắn chat</t>
  </si>
  <si>
    <t>Support</t>
  </si>
  <si>
    <t>support_tickets</t>
  </si>
  <si>
    <t>Yêu cầu hỗ trợ</t>
  </si>
  <si>
    <t>support_messages</t>
  </si>
  <si>
    <t>Trao đổi xử lý ticket</t>
  </si>
  <si>
    <t>Order exception</t>
  </si>
  <si>
    <t>order_cancellations</t>
  </si>
  <si>
    <t>Hủy đơn và lý do</t>
  </si>
  <si>
    <t>refunds</t>
  </si>
  <si>
    <t>Hoàn tiền</t>
  </si>
  <si>
    <t>Wallet</t>
  </si>
  <si>
    <t>wallets</t>
  </si>
  <si>
    <t>Ví khách hàng</t>
  </si>
  <si>
    <t>wallet_transactions</t>
  </si>
  <si>
    <t>Giao dịch ví</t>
  </si>
  <si>
    <t>Settlement</t>
  </si>
  <si>
    <t>shipper_earnings</t>
  </si>
  <si>
    <t>Thu nhập shipper</t>
  </si>
  <si>
    <t>shipper_withdrawals</t>
  </si>
  <si>
    <t>Rút tiền shipper</t>
  </si>
  <si>
    <t>restaurant_settlements</t>
  </si>
  <si>
    <t>Đối soát nhà hàng</t>
  </si>
  <si>
    <t>restaurant_commissions</t>
  </si>
  <si>
    <t>Hoa hồng nền tảng</t>
  </si>
  <si>
    <t>Audit &amp; auth</t>
  </si>
  <si>
    <t>audit_logs</t>
  </si>
  <si>
    <t>Lịch sử thao tác trong web</t>
  </si>
  <si>
    <t>1.5, 6.3</t>
  </si>
  <si>
    <t>Log thao tác lưu trong web/database</t>
  </si>
  <si>
    <t>refresh_tokens</t>
  </si>
  <si>
    <t>Refresh token dạng hash</t>
  </si>
  <si>
    <t>Đã có repository/service và test auth</t>
  </si>
  <si>
    <t>password_reset_tokens</t>
  </si>
  <si>
    <t>Token đặt lại mật khẩu</t>
  </si>
  <si>
    <t>email_verification_tokens</t>
  </si>
  <si>
    <t>Token xác thực email</t>
  </si>
  <si>
    <t>login_history</t>
  </si>
  <si>
    <t>Lịch sử đăng nhập thành công/thất bại</t>
  </si>
  <si>
    <t>Jobs &amp; exchange</t>
  </si>
  <si>
    <t>import_jobs</t>
  </si>
  <si>
    <t>Theo dõi import</t>
  </si>
  <si>
    <t>export_jobs</t>
  </si>
  <si>
    <t>Theo dõi export</t>
  </si>
  <si>
    <t>background_jobs</t>
  </si>
  <si>
    <t>Hàng đợi tác vụ nền</t>
  </si>
  <si>
    <t>Discovery</t>
  </si>
  <si>
    <t>banners</t>
  </si>
  <si>
    <t>Banner hiển thị trên catalog</t>
  </si>
  <si>
    <t>2.5, 2.7</t>
  </si>
  <si>
    <t>Promotion CRUD/validation/usage, banners public và favorites restaurant/menu item.; Upload ảnh JPEG/PNG/WebP, lưu an toàn, editor crop khung vuông/rotate/zoom/reset và object-fit.</t>
  </si>
  <si>
    <t>search_history</t>
  </si>
  <si>
    <t>Lịch sử tìm kiếm khách</t>
  </si>
  <si>
    <t>Catalog search/filter/sort/pagination cho restaurant/menu item và search_history cho customer.</t>
  </si>
  <si>
    <t>delivery_zones</t>
  </si>
  <si>
    <t>Khu vực/phí giao hàng</t>
  </si>
  <si>
    <t>Platform</t>
  </si>
  <si>
    <t>system_settings</t>
  </si>
  <si>
    <t>Cấu hình phí, thuế, commission</t>
  </si>
  <si>
    <t>MA TRẬN ĐÁP ỨNG YÊU CẦU CHUNG VÀ ĐỀ TÀI FOOD DELIVERY</t>
  </si>
  <si>
    <t>Nhóm yêu cầu</t>
  </si>
  <si>
    <t>Nội dung cần đáp ứng</t>
  </si>
  <si>
    <t>Mức đáp ứng trong kế hoạch</t>
  </si>
  <si>
    <t>Căn cứ SQL / bàn giao</t>
  </si>
  <si>
    <t>Tài khoản</t>
  </si>
  <si>
    <t>Đăng ký/đăng nhập, JWT, refresh token, reset mật khẩu</t>
  </si>
  <si>
    <t>1.4, 1.5</t>
  </si>
  <si>
    <t>Đã hoàn thành nền tảng</t>
  </si>
  <si>
    <t>users, refresh_tokens, password_reset_tokens, login_history</t>
  </si>
  <si>
    <t>Ít nhất 3 vai trò; đề tài dùng ADMIN/RESTAURANT/SHIPPER/CUSTOMER</t>
  </si>
  <si>
    <t>1.5, 1.7</t>
  </si>
  <si>
    <t>roles, permissions, role_permissions</t>
  </si>
  <si>
    <t>CRUD &amp; tra cứu</t>
  </si>
  <si>
    <t>CRUD có tìm kiếm, lọc, sắp xếp, phân trang</t>
  </si>
  <si>
    <t>2.1-2.5, 3.1-3.4</t>
  </si>
  <si>
    <t>Đã đưa vào kế hoạch</t>
  </si>
  <si>
    <t>restaurant_*, menu_*, carts, orders</t>
  </si>
  <si>
    <t>Ảnh &amp; icon</t>
  </si>
  <si>
    <t>Chọn/upload/thay/xóa; toolbar crop, xoay, zoom, căn khung/reset; hiển thị đồng đều và không méo ảnh</t>
  </si>
  <si>
    <t>2.7, 6.1</t>
  </si>
  <si>
    <t>restaurant_images, restaurant_categories.image_url, menu_items.image_url, users.avatar_url, banners.image_url</t>
  </si>
  <si>
    <t>Giao diện &amp; design system</t>
  </si>
  <si>
    <t>Tailwind CSS, token màu, bố cục, typography, spacing và component dùng chung; responsive theo nghiệp vụ giao đồ ăn</t>
  </si>
  <si>
    <t>1.7, 2.7, 3.4</t>
  </si>
  <si>
    <t>UI tĩnh đăng nhập/đăng ký/hồ sơ cho 4 vai trò; mở rộng workflow ở 2.7 và 3.4</t>
  </si>
  <si>
    <t>Import/export/PDF</t>
  </si>
  <si>
    <t>Excel/CSV, hóa đơn PDF, báo cáo và job lớn</t>
  </si>
  <si>
    <t>4.5, 5.1-5.3</t>
  </si>
  <si>
    <t>invoices, import_jobs, export_jobs, background_jobs</t>
  </si>
  <si>
    <t>Audit &amp; dữ liệu</t>
  </si>
  <si>
    <t>Ai làm gì, lúc nào; soft-delete; snapshot/versioning cơ bản</t>
  </si>
  <si>
    <t>1.5, 1.6, 3.2, 6.3</t>
  </si>
  <si>
    <t>Đang làm</t>
  </si>
  <si>
    <t>Đã phủ auth/profile/address/restaurant; order snapshots và system audit nâng cấp ở 3.2/6.3</t>
  </si>
  <si>
    <t>Thông báo &amp; job</t>
  </si>
  <si>
    <t>Email/in-app notification, hàng đợi tác vụ lâu</t>
  </si>
  <si>
    <t>notifications, notification_preferences, background_jobs</t>
  </si>
  <si>
    <t>API tài liệu</t>
  </si>
  <si>
    <t>OpenAPI/Swagger đầy đủ và Postman collection</t>
  </si>
  <si>
    <t>Toàn bộ API</t>
  </si>
  <si>
    <t>Kiểm thử</t>
  </si>
  <si>
    <t>Unit service, integration API, E2E, coverage mục tiêu 30-40%</t>
  </si>
  <si>
    <t>3.5, 7.1-7.3, 9.1</t>
  </si>
  <si>
    <t>Đã có 54 kiểm tra foundation, auth, RBAC, customer/address, validation, service và controller nhà hàng; integration/E2E làm tiếp</t>
  </si>
  <si>
    <t>Triển khai</t>
  </si>
  <si>
    <t>Docker Compose và CI/CD build-test-deploy</t>
  </si>
  <si>
    <t>8.1, 8.2</t>
  </si>
  <si>
    <t>API + MySQL + Redis + MailHog</t>
  </si>
  <si>
    <t>Bảo mật &amp; hiệu năng</t>
  </si>
  <si>
    <t>SQLi/XSS/CSRF, rate limit, CORS, cache Redis, seed &gt;= 2.000</t>
  </si>
  <si>
    <t>2.6, 6.1, 6.2</t>
  </si>
  <si>
    <t>Validation, Redis, seed</t>
  </si>
  <si>
    <t>Giám sát</t>
  </si>
  <si>
    <t>Structured logging và health check</t>
  </si>
  <si>
    <t>1.3, 6.3</t>
  </si>
  <si>
    <t>Đã có /health, /health/live, /health/ready; structured logs và system_settings làm ở 6.3</t>
  </si>
  <si>
    <t>Bàn giao</t>
  </si>
  <si>
    <t>SRS, ERD, use case/flow, kiến trúc, hướng dẫn, video 5-10 phút</t>
  </si>
  <si>
    <t>1.1, 8.3-8.5, 9.3</t>
  </si>
  <si>
    <t>Bộ hồ sơ nộp</t>
  </si>
  <si>
    <t>Food Delivery core</t>
  </si>
  <si>
    <t>Nhà hàng, menu, khách đặt món, nhà hàng xác nhận, shipper giao, COD/online</t>
  </si>
  <si>
    <t>2.1-4.4</t>
  </si>
  <si>
    <t>Đã triển khai API hồ sơ nhà hàng; menu, order, delivery, payment làm tiếp</t>
  </si>
  <si>
    <t>Realtime/GPS</t>
  </si>
  <si>
    <t>Realtime thay đổi trạng thái và GPS tracking</t>
  </si>
  <si>
    <t>4.2, 4.3, 6.2, 9.1</t>
  </si>
  <si>
    <t>delivery_status_history, shipper_locations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</si>
</sst>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0">
    <font>
      <sz val="11"/>
      <name val="Carlito"/>
    </font>
    <font>
      <sz val="11"/>
      <color rgb="FF1F2937"/>
      <name val="Carlito"/>
    </font>
    <font>
      <b/>
      <sz val="11"/>
      <color rgb="FFFFFFFF"/>
      <name val="Carlito"/>
    </font>
    <font>
      <b/>
      <sz val="11"/>
      <color rgb="FF666666"/>
      <name val="Carlito"/>
    </font>
    <font>
      <b/>
      <sz val="11"/>
      <color rgb="FF17365D"/>
      <name val="Carlito"/>
    </font>
    <font>
      <b/>
      <sz val="11"/>
      <color rgb="FF1F2937"/>
      <name val="Carlito"/>
    </font>
    <font>
      <sz val="11"/>
      <color rgb="FF666666"/>
      <name val="Carlito"/>
    </font>
    <font>
      <i/>
      <sz val="11"/>
      <color rgb="FF17365D"/>
      <name val="Carlito"/>
    </font>
    <font>
      <i/>
      <sz val="11"/>
      <color rgb="FF7F6000"/>
      <name val="Carlito"/>
    </font>
    <font>
      <b/>
      <sz val="11"/>
      <color theme="1"/>
      <name val="Carlito"/>
    </font>
  </fonts>
  <fills count="1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5B9BD5"/>
      </patternFill>
    </fill>
    <fill>
      <patternFill patternType="solid">
        <fgColor rgb="FF70AD47"/>
      </patternFill>
    </fill>
    <fill>
      <patternFill patternType="solid">
        <fgColor rgb="FFC55A11"/>
      </patternFill>
    </fill>
    <fill>
      <patternFill patternType="solid">
        <fgColor rgb="FFF2F2F2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AFAFA"/>
      </patternFill>
    </fill>
    <fill>
      <patternFill patternType="solid">
        <fgColor rgb="FF1F4E78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5B9BD5"/>
      </left>
      <right style="thin">
        <color rgb="FF5B9BD5"/>
      </right>
      <top style="thin">
        <color rgb="FF5B9BD5"/>
      </top>
      <bottom style="thin">
        <color rgb="FF5B9BD5"/>
      </bottom>
      <diagonal/>
    </border>
    <border>
      <left style="thin">
        <color rgb="FFD9E2F3"/>
      </left>
      <right style="thin">
        <color rgb="FFD9E2F3"/>
      </right>
      <top style="thin">
        <color rgb="FF5B9BD5"/>
      </top>
      <bottom style="thin">
        <color rgb="FF5B9BD5"/>
      </bottom>
      <diagonal/>
    </border>
    <border>
      <left style="thin">
        <color rgb="FF70AD47"/>
      </left>
      <right style="thin">
        <color rgb="FF70AD47"/>
      </right>
      <top style="thin">
        <color rgb="FF70AD47"/>
      </top>
      <bottom style="thin">
        <color rgb="FF70AD47"/>
      </bottom>
      <diagonal/>
    </border>
    <border>
      <left style="thin">
        <color rgb="FFD9E2F3"/>
      </left>
      <right style="thin">
        <color rgb="FFD9E2F3"/>
      </right>
      <top style="thin">
        <color rgb="FF70AD47"/>
      </top>
      <bottom style="thin">
        <color rgb="FF70AD47"/>
      </bottom>
      <diagonal/>
    </border>
    <border>
      <left style="thin">
        <color rgb="FFC55A11"/>
      </left>
      <right style="thin">
        <color rgb="FFC55A11"/>
      </right>
      <top style="thin">
        <color rgb="FFC55A11"/>
      </top>
      <bottom style="thin">
        <color rgb="FFC55A11"/>
      </bottom>
      <diagonal/>
    </border>
    <border>
      <left style="thin">
        <color rgb="FFD9E2F3"/>
      </left>
      <right style="thin">
        <color rgb="FFD9E2F3"/>
      </right>
      <top style="thin">
        <color rgb="FFC55A11"/>
      </top>
      <bottom style="thin">
        <color rgb="FFC55A11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vertical="center" wrapText="1"/>
    </xf>
    <xf numFmtId="164" fontId="4" fillId="7" borderId="3" xfId="0" applyNumberFormat="1" applyFont="1" applyFill="1" applyBorder="1" applyAlignment="1">
      <alignment horizontal="center" vertical="center" wrapText="1"/>
    </xf>
    <xf numFmtId="9" fontId="4" fillId="7" borderId="3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vertical="center" wrapText="1"/>
    </xf>
    <xf numFmtId="164" fontId="5" fillId="7" borderId="3" xfId="0" applyNumberFormat="1" applyFont="1" applyFill="1" applyBorder="1" applyAlignment="1">
      <alignment horizontal="center" vertical="center" wrapText="1"/>
    </xf>
    <xf numFmtId="9" fontId="5" fillId="7" borderId="3" xfId="0" applyNumberFormat="1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vertical="center" wrapText="1"/>
    </xf>
    <xf numFmtId="0" fontId="1" fillId="7" borderId="4" xfId="0" applyFont="1" applyFill="1" applyBorder="1" applyAlignment="1">
      <alignment vertical="center" wrapText="1"/>
    </xf>
    <xf numFmtId="9" fontId="1" fillId="9" borderId="1" xfId="0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vertical="center" wrapText="1"/>
    </xf>
    <xf numFmtId="164" fontId="4" fillId="8" borderId="5" xfId="0" applyNumberFormat="1" applyFont="1" applyFill="1" applyBorder="1" applyAlignment="1">
      <alignment horizontal="center" vertical="center" wrapText="1"/>
    </xf>
    <xf numFmtId="9" fontId="4" fillId="8" borderId="5" xfId="0" applyNumberFormat="1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vertical="center" wrapText="1"/>
    </xf>
    <xf numFmtId="164" fontId="5" fillId="8" borderId="5" xfId="0" applyNumberFormat="1" applyFont="1" applyFill="1" applyBorder="1" applyAlignment="1">
      <alignment horizontal="center" vertical="center" wrapText="1"/>
    </xf>
    <xf numFmtId="9" fontId="5" fillId="8" borderId="5" xfId="0" applyNumberFormat="1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vertical="center" wrapText="1"/>
    </xf>
    <xf numFmtId="0" fontId="1" fillId="8" borderId="6" xfId="0" applyFont="1" applyFill="1" applyBorder="1" applyAlignment="1">
      <alignment vertical="center" wrapText="1"/>
    </xf>
    <xf numFmtId="0" fontId="4" fillId="11" borderId="7" xfId="0" applyFont="1" applyFill="1" applyBorder="1" applyAlignment="1">
      <alignment horizontal="center" vertical="center" wrapText="1"/>
    </xf>
    <xf numFmtId="0" fontId="4" fillId="11" borderId="7" xfId="0" applyFont="1" applyFill="1" applyBorder="1" applyAlignment="1">
      <alignment vertical="center" wrapText="1"/>
    </xf>
    <xf numFmtId="164" fontId="4" fillId="11" borderId="7" xfId="0" applyNumberFormat="1" applyFont="1" applyFill="1" applyBorder="1" applyAlignment="1">
      <alignment horizontal="center" vertical="center" wrapText="1"/>
    </xf>
    <xf numFmtId="9" fontId="4" fillId="11" borderId="7" xfId="0" applyNumberFormat="1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vertical="center" wrapText="1"/>
    </xf>
    <xf numFmtId="0" fontId="5" fillId="11" borderId="7" xfId="0" applyFont="1" applyFill="1" applyBorder="1" applyAlignment="1">
      <alignment horizontal="center" vertical="center" wrapText="1"/>
    </xf>
    <xf numFmtId="0" fontId="5" fillId="11" borderId="7" xfId="0" applyFont="1" applyFill="1" applyBorder="1" applyAlignment="1">
      <alignment vertical="center" wrapText="1"/>
    </xf>
    <xf numFmtId="164" fontId="5" fillId="11" borderId="7" xfId="0" applyNumberFormat="1" applyFont="1" applyFill="1" applyBorder="1" applyAlignment="1">
      <alignment horizontal="center" vertical="center" wrapText="1"/>
    </xf>
    <xf numFmtId="9" fontId="5" fillId="11" borderId="7" xfId="0" applyNumberFormat="1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vertical="center" wrapText="1"/>
    </xf>
    <xf numFmtId="0" fontId="1" fillId="11" borderId="8" xfId="0" applyFont="1" applyFill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5" fillId="7" borderId="3" xfId="0" applyFont="1" applyFill="1" applyBorder="1" applyAlignment="1">
      <alignment horizontal="left" vertical="center" wrapText="1"/>
    </xf>
    <xf numFmtId="0" fontId="5" fillId="8" borderId="5" xfId="0" applyFont="1" applyFill="1" applyBorder="1" applyAlignment="1">
      <alignment horizontal="left" vertical="center" wrapText="1"/>
    </xf>
    <xf numFmtId="0" fontId="5" fillId="11" borderId="7" xfId="0" applyFont="1" applyFill="1" applyBorder="1" applyAlignment="1">
      <alignment horizontal="left" vertical="center" wrapText="1"/>
    </xf>
    <xf numFmtId="0" fontId="4" fillId="7" borderId="3" xfId="0" applyFont="1" applyFill="1" applyBorder="1" applyAlignment="1">
      <alignment horizontal="left" vertical="center" wrapText="1"/>
    </xf>
    <xf numFmtId="0" fontId="4" fillId="8" borderId="5" xfId="0" applyFont="1" applyFill="1" applyBorder="1" applyAlignment="1">
      <alignment horizontal="left" vertical="center" wrapText="1"/>
    </xf>
    <xf numFmtId="0" fontId="4" fillId="11" borderId="7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center" vertical="center"/>
    </xf>
    <xf numFmtId="0" fontId="4" fillId="12" borderId="3" xfId="0" applyFont="1" applyFill="1" applyBorder="1" applyAlignment="1">
      <alignment vertical="center" wrapText="1"/>
    </xf>
    <xf numFmtId="0" fontId="5" fillId="12" borderId="3" xfId="0" applyFont="1" applyFill="1" applyBorder="1" applyAlignment="1">
      <alignment vertical="center" wrapText="1"/>
    </xf>
    <xf numFmtId="0" fontId="1" fillId="12" borderId="1" xfId="0" applyFont="1" applyFill="1" applyBorder="1" applyAlignment="1">
      <alignment vertical="center" wrapText="1"/>
    </xf>
    <xf numFmtId="0" fontId="1" fillId="12" borderId="4" xfId="0" applyFont="1" applyFill="1" applyBorder="1" applyAlignment="1">
      <alignment vertical="center" wrapText="1"/>
    </xf>
    <xf numFmtId="0" fontId="4" fillId="12" borderId="5" xfId="0" applyFont="1" applyFill="1" applyBorder="1" applyAlignment="1">
      <alignment vertical="center" wrapText="1"/>
    </xf>
    <xf numFmtId="0" fontId="5" fillId="12" borderId="5" xfId="0" applyFont="1" applyFill="1" applyBorder="1" applyAlignment="1">
      <alignment vertical="center" wrapText="1"/>
    </xf>
    <xf numFmtId="0" fontId="4" fillId="12" borderId="7" xfId="0" applyFont="1" applyFill="1" applyBorder="1" applyAlignment="1">
      <alignment vertical="center" wrapText="1"/>
    </xf>
    <xf numFmtId="0" fontId="5" fillId="12" borderId="7" xfId="0" applyFont="1" applyFill="1" applyBorder="1" applyAlignment="1">
      <alignment vertical="center" wrapText="1"/>
    </xf>
    <xf numFmtId="0" fontId="1" fillId="12" borderId="6" xfId="0" applyFont="1" applyFill="1" applyBorder="1" applyAlignment="1">
      <alignment vertical="center" wrapText="1"/>
    </xf>
    <xf numFmtId="0" fontId="1" fillId="12" borderId="8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2" fillId="13" borderId="1" xfId="0" applyFont="1" applyFill="1" applyBorder="1" applyAlignment="1">
      <alignment horizontal="center" vertical="center"/>
    </xf>
    <xf numFmtId="9" fontId="0" fillId="8" borderId="1" xfId="0" applyNumberFormat="1" applyFill="1" applyBorder="1" applyAlignment="1">
      <alignment horizontal="center" vertical="center"/>
    </xf>
    <xf numFmtId="0" fontId="2" fillId="13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9" xfId="0" applyBorder="1"/>
    <xf numFmtId="0" fontId="0" fillId="0" borderId="10" xfId="0" applyBorder="1"/>
    <xf numFmtId="0" fontId="4" fillId="7" borderId="0" xfId="0" applyFont="1" applyFill="1" applyAlignment="1">
      <alignment vertical="center" wrapText="1"/>
    </xf>
    <xf numFmtId="0" fontId="0" fillId="0" borderId="0" xfId="0"/>
    <xf numFmtId="0" fontId="4" fillId="6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13" borderId="2" xfId="0" applyFont="1" applyFill="1" applyBorder="1" applyAlignment="1">
      <alignment horizontal="center" vertical="center"/>
    </xf>
    <xf numFmtId="0" fontId="0" fillId="0" borderId="11" xfId="0" applyBorder="1"/>
    <xf numFmtId="0" fontId="2" fillId="3" borderId="0" xfId="0" applyFont="1" applyFill="1" applyAlignment="1">
      <alignment horizontal="left" vertical="center"/>
    </xf>
    <xf numFmtId="9" fontId="4" fillId="6" borderId="1" xfId="0" applyNumberFormat="1" applyFont="1" applyFill="1" applyBorder="1" applyAlignment="1">
      <alignment horizontal="center" vertical="center"/>
    </xf>
    <xf numFmtId="0" fontId="7" fillId="7" borderId="0" xfId="0" applyFont="1" applyFill="1" applyAlignment="1">
      <alignment horizontal="left" vertical="center"/>
    </xf>
    <xf numFmtId="49" fontId="4" fillId="6" borderId="1" xfId="0" applyNumberFormat="1" applyFont="1" applyFill="1" applyBorder="1" applyAlignment="1">
      <alignment horizontal="center" vertical="center"/>
    </xf>
    <xf numFmtId="0" fontId="8" fillId="10" borderId="0" xfId="0" applyFont="1" applyFill="1" applyAlignment="1">
      <alignment vertical="center" wrapText="1"/>
    </xf>
    <xf numFmtId="0" fontId="2" fillId="4" borderId="0" xfId="0" applyFont="1" applyFill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0" fillId="0" borderId="12" xfId="0" applyBorder="1"/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7" fillId="7" borderId="0" xfId="0" applyFont="1" applyFill="1" applyAlignment="1">
      <alignment wrapText="1"/>
    </xf>
    <xf numFmtId="0" fontId="9" fillId="14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7">
    <dxf>
      <fill>
        <patternFill patternType="solid">
          <bgColor rgb="FFE2F0D9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US"/>
              <a:t>Tiến độ theo nhóm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Tiến độ</c:v>
          </c:tx>
          <c:spPr>
            <a:ln>
              <a:prstDash val="solid"/>
            </a:ln>
          </c:spPr>
          <c:invertIfNegative val="1"/>
          <c:cat>
            <c:strRef>
              <c:f>Summary!$A$17:$A$25</c:f>
              <c:strCache>
                <c:ptCount val="9"/>
                <c:pt idx="0">
                  <c:v>1 - Nền tảng</c:v>
                </c:pt>
                <c:pt idx="1">
                  <c:v>2 - Nhà hàng/menu</c:v>
                </c:pt>
                <c:pt idx="2">
                  <c:v>3 - Đặt món</c:v>
                </c:pt>
                <c:pt idx="3">
                  <c:v>4 - Giao hàng/thanh toán</c:v>
                </c:pt>
                <c:pt idx="4">
                  <c:v>5 - Nhập/xuất/job</c:v>
                </c:pt>
                <c:pt idx="5">
                  <c:v>6 - Bảo mật/giám sát</c:v>
                </c:pt>
                <c:pt idx="6">
                  <c:v>7 - Kiểm thử</c:v>
                </c:pt>
                <c:pt idx="7">
                  <c:v>8 - Bàn giao</c:v>
                </c:pt>
                <c:pt idx="8">
                  <c:v>9 - Nghiệm thu</c:v>
                </c:pt>
              </c:strCache>
            </c:strRef>
          </c:cat>
          <c:val>
            <c:numRef>
              <c:f>Summary!$B$17:$B$25</c:f>
              <c:numCache>
                <c:formatCode>0%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A3-41E8-AA37-3D93ED4E5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  <c:max val="1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15</xdr:row>
      <xdr:rowOff>0</xdr:rowOff>
    </xdr:from>
    <xdr:to>
      <xdr:col>17</xdr:col>
      <xdr:colOff>0</xdr:colOff>
      <xdr:row>31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frastructureTable" displayName="InfrastructureTable" ref="A3:D20">
  <tableColumns count="4">
    <tableColumn id="1" xr3:uid="{00000000-0010-0000-0000-000001000000}" name="STT"/>
    <tableColumn id="2" xr3:uid="{00000000-0010-0000-0000-000002000000}" name="Hạng mục"/>
    <tableColumn id="3" xr3:uid="{00000000-0010-0000-0000-000003000000}" name="Công nghệ / phiên bản"/>
    <tableColumn id="4" xr3:uid="{00000000-0010-0000-0000-000004000000}" name="Hiện trạng / ghi chú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qlCoverageTable" displayName="SqlCoverageTable" ref="A3:F69">
  <tableColumns count="6">
    <tableColumn id="1" xr3:uid="{00000000-0010-0000-0100-000001000000}" name="Nhóm dữ liệu"/>
    <tableColumn id="2" xr3:uid="{00000000-0010-0000-0100-000002000000}" name="Bảng SQL"/>
    <tableColumn id="3" xr3:uid="{00000000-0010-0000-0100-000003000000}" name="Vai trò trong hệ thống"/>
    <tableColumn id="4" xr3:uid="{00000000-0010-0000-0100-000004000000}" name="Plan ID"/>
    <tableColumn id="5" xr3:uid="{00000000-0010-0000-0100-000005000000}" name="Trạng thái hiện tại"/>
    <tableColumn id="6" xr3:uid="{00000000-0010-0000-0100-000006000000}" name="Ghi chú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quirementsTable" displayName="RequirementsTable" ref="A3:E19">
  <tableColumns count="5">
    <tableColumn id="1" xr3:uid="{00000000-0010-0000-0200-000001000000}" name="Nhóm yêu cầu"/>
    <tableColumn id="2" xr3:uid="{00000000-0010-0000-0200-000002000000}" name="Nội dung cần đáp ứng"/>
    <tableColumn id="3" xr3:uid="{00000000-0010-0000-0200-000003000000}" name="Plan ID"/>
    <tableColumn id="4" xr3:uid="{00000000-0010-0000-0200-000004000000}" name="Mức đáp ứng trong kế hoạch"/>
    <tableColumn id="5" xr3:uid="{00000000-0010-0000-0200-000005000000}" name="Căn cứ SQL / bàn gia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4"/>
  <sheetViews>
    <sheetView showGridLines="0" topLeftCell="A7" workbookViewId="0">
      <selection activeCell="A2" sqref="A2:Q2"/>
    </sheetView>
  </sheetViews>
  <sheetFormatPr defaultRowHeight="14"/>
  <cols>
    <col min="1" max="1" width="20" customWidth="1"/>
    <col min="2" max="2" width="15" customWidth="1"/>
    <col min="3" max="10" width="14" customWidth="1"/>
    <col min="11" max="17" width="12" customWidth="1"/>
  </cols>
  <sheetData>
    <row r="1" spans="1:17" ht="34" customHeight="1">
      <c r="A1" s="73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</row>
    <row r="2" spans="1:17" ht="14.5" customHeight="1">
      <c r="A2" s="78" t="s">
        <v>1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</row>
    <row r="4" spans="1:17">
      <c r="A4" s="74" t="s">
        <v>2</v>
      </c>
      <c r="B4" s="75"/>
      <c r="C4" s="74" t="s">
        <v>3</v>
      </c>
      <c r="D4" s="75"/>
      <c r="E4" s="74" t="s">
        <v>4</v>
      </c>
      <c r="F4" s="75"/>
      <c r="G4" s="74" t="s">
        <v>5</v>
      </c>
      <c r="H4" s="75"/>
      <c r="I4" s="74" t="s">
        <v>6</v>
      </c>
      <c r="J4" s="75"/>
    </row>
    <row r="5" spans="1:17">
      <c r="A5" s="77">
        <f>AVERAGE(Plan!G5:G11,Plan!G13:G19,Plan!G21:G25,Plan!G28:G35,Plan!G38:G40,Plan!G42:G44,Plan!G46:G48,Plan!G50:G54,Plan!G56:G58)</f>
        <v>0.43181818181818182</v>
      </c>
      <c r="B5" s="69"/>
      <c r="C5" s="72">
        <f>COUNTIF(Plan!F5:F11,"Đã hoàn thành")+COUNTIF(Plan!F13:F19,"Đã hoàn thành")+COUNTIF(Plan!F21:F25,"Đã hoàn thành")+COUNTIF(Plan!F28:F35,"Đã hoàn thành")+COUNTIF(Plan!F38:F40,"Đã hoàn thành")+COUNTIF(Plan!F42:F44,"Đã hoàn thành")+COUNTIF(Plan!F46:F48,"Đã hoàn thành")+COUNTIF(Plan!F50:F54,"Đã hoàn thành")+COUNTIF(Plan!F56:F58,"Đã hoàn thành")</f>
        <v>19</v>
      </c>
      <c r="D5" s="69"/>
      <c r="E5" s="72">
        <f>COUNTIF(Plan!F5:F11,"Đang thực hiện")+COUNTIF(Plan!F13:F19,"Đang thực hiện")+COUNTIF(Plan!F21:F25,"Đang thực hiện")+COUNTIF(Plan!F28:F35,"Đang thực hiện")+COUNTIF(Plan!F38:F40,"Đang thực hiện")+COUNTIF(Plan!F42:F44,"Đang thực hiện")+COUNTIF(Plan!F46:F48,"Đang thực hiện")+COUNTIF(Plan!F50:F54,"Đang thực hiện")+COUNTIF(Plan!F56:F58,"Đang thực hiện")</f>
        <v>0</v>
      </c>
      <c r="F5" s="69"/>
      <c r="G5" s="72">
        <f>COUNTIF(Plan!F5:F11,"Chưa thực hiện")+COUNTIF(Plan!F13:F19,"Chưa thực hiện")+COUNTIF(Plan!F21:F25,"Chưa thực hiện")+COUNTIF(Plan!F28:F35,"Chưa thực hiện")+COUNTIF(Plan!F38:F40,"Chưa thực hiện")+COUNTIF(Plan!F42:F44,"Chưa thực hiện")+COUNTIF(Plan!F46:F48,"Chưa thực hiện")+COUNTIF(Plan!F50:F54,"Chưa thực hiện")+COUNTIF(Plan!F56:F58,"Chưa thực hiện")</f>
        <v>25</v>
      </c>
      <c r="H5" s="69"/>
      <c r="I5" s="79" t="s">
        <v>7</v>
      </c>
      <c r="J5" s="69"/>
    </row>
    <row r="7" spans="1:17">
      <c r="A7" s="76" t="s">
        <v>8</v>
      </c>
      <c r="B7" s="71"/>
      <c r="C7" s="71"/>
      <c r="D7" s="71"/>
      <c r="E7" s="71"/>
      <c r="F7" s="71"/>
      <c r="G7" s="71"/>
      <c r="H7" s="71"/>
    </row>
    <row r="8" spans="1:17" ht="27" customHeight="1">
      <c r="A8" s="60" t="s">
        <v>9</v>
      </c>
      <c r="B8" s="67" t="s">
        <v>10</v>
      </c>
      <c r="C8" s="68"/>
      <c r="D8" s="68"/>
      <c r="E8" s="68"/>
      <c r="F8" s="68"/>
      <c r="G8" s="68"/>
      <c r="H8" s="69"/>
    </row>
    <row r="9" spans="1:17" ht="27" customHeight="1">
      <c r="A9" s="60" t="s">
        <v>11</v>
      </c>
      <c r="B9" s="67" t="s">
        <v>12</v>
      </c>
      <c r="C9" s="68"/>
      <c r="D9" s="68"/>
      <c r="E9" s="68"/>
      <c r="F9" s="68"/>
      <c r="G9" s="68"/>
      <c r="H9" s="69"/>
    </row>
    <row r="10" spans="1:17" ht="27" customHeight="1">
      <c r="A10" s="60" t="s">
        <v>13</v>
      </c>
      <c r="B10" s="67" t="s">
        <v>14</v>
      </c>
      <c r="C10" s="68"/>
      <c r="D10" s="68"/>
      <c r="E10" s="68"/>
      <c r="F10" s="68"/>
      <c r="G10" s="68"/>
      <c r="H10" s="69"/>
    </row>
    <row r="11" spans="1:17" ht="27" customHeight="1">
      <c r="A11" s="60" t="s">
        <v>15</v>
      </c>
      <c r="B11" s="67" t="s">
        <v>16</v>
      </c>
      <c r="C11" s="68"/>
      <c r="D11" s="68"/>
      <c r="E11" s="68"/>
      <c r="F11" s="68"/>
      <c r="G11" s="68"/>
      <c r="H11" s="69"/>
    </row>
    <row r="12" spans="1:17" ht="27" customHeight="1">
      <c r="A12" s="60" t="s">
        <v>17</v>
      </c>
      <c r="B12" s="67" t="s">
        <v>18</v>
      </c>
      <c r="C12" s="68"/>
      <c r="D12" s="68"/>
      <c r="E12" s="68"/>
      <c r="F12" s="68"/>
      <c r="G12" s="68"/>
      <c r="H12" s="69"/>
    </row>
    <row r="15" spans="1:17">
      <c r="A15" s="81" t="s">
        <v>19</v>
      </c>
      <c r="B15" s="71"/>
      <c r="C15" s="71"/>
      <c r="D15" s="71"/>
      <c r="E15" s="71"/>
      <c r="F15" s="71"/>
    </row>
    <row r="16" spans="1:17">
      <c r="A16" s="62" t="s">
        <v>20</v>
      </c>
      <c r="B16" s="62" t="s">
        <v>21</v>
      </c>
    </row>
    <row r="17" spans="1:2">
      <c r="A17" s="61" t="s">
        <v>22</v>
      </c>
      <c r="B17" s="63">
        <f>Plan!G4</f>
        <v>1</v>
      </c>
    </row>
    <row r="18" spans="1:2">
      <c r="A18" s="61" t="s">
        <v>23</v>
      </c>
      <c r="B18" s="63">
        <f>Plan!G12</f>
        <v>1</v>
      </c>
    </row>
    <row r="19" spans="1:2">
      <c r="A19" s="61" t="s">
        <v>24</v>
      </c>
      <c r="B19" s="63">
        <f>Plan!G20</f>
        <v>1</v>
      </c>
    </row>
    <row r="20" spans="1:2">
      <c r="A20" s="61" t="s">
        <v>25</v>
      </c>
      <c r="B20" s="63">
        <f>Plan!G27</f>
        <v>0</v>
      </c>
    </row>
    <row r="21" spans="1:2">
      <c r="A21" s="61" t="s">
        <v>26</v>
      </c>
      <c r="B21" s="63">
        <f>Plan!G37</f>
        <v>0</v>
      </c>
    </row>
    <row r="22" spans="1:2">
      <c r="A22" s="61" t="s">
        <v>27</v>
      </c>
      <c r="B22" s="63">
        <f>Plan!G41</f>
        <v>0</v>
      </c>
    </row>
    <row r="23" spans="1:2">
      <c r="A23" s="61" t="s">
        <v>28</v>
      </c>
      <c r="B23" s="63">
        <f>Plan!G45</f>
        <v>0</v>
      </c>
    </row>
    <row r="24" spans="1:2">
      <c r="A24" s="61" t="s">
        <v>29</v>
      </c>
      <c r="B24" s="63">
        <f>Plan!G49</f>
        <v>0</v>
      </c>
    </row>
    <row r="25" spans="1:2">
      <c r="A25" s="61" t="s">
        <v>30</v>
      </c>
      <c r="B25" s="63">
        <f>Plan!G55</f>
        <v>0</v>
      </c>
    </row>
    <row r="33" spans="1:17" ht="30" customHeight="1">
      <c r="A33" s="80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</row>
    <row r="34" spans="1:17" ht="30" customHeight="1">
      <c r="A34" s="70"/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</row>
  </sheetData>
  <mergeCells count="21">
    <mergeCell ref="A4:B4"/>
    <mergeCell ref="G4:H4"/>
    <mergeCell ref="B8:H8"/>
    <mergeCell ref="I4:J4"/>
    <mergeCell ref="B10:H10"/>
    <mergeCell ref="B9:H9"/>
    <mergeCell ref="A34:Q34"/>
    <mergeCell ref="C5:D5"/>
    <mergeCell ref="E5:F5"/>
    <mergeCell ref="A1:Q1"/>
    <mergeCell ref="C4:D4"/>
    <mergeCell ref="E4:F4"/>
    <mergeCell ref="A7:H7"/>
    <mergeCell ref="B12:H12"/>
    <mergeCell ref="A5:B5"/>
    <mergeCell ref="G5:H5"/>
    <mergeCell ref="A2:Q2"/>
    <mergeCell ref="I5:J5"/>
    <mergeCell ref="B11:H11"/>
    <mergeCell ref="A33:Q33"/>
    <mergeCell ref="A15:F15"/>
  </mergeCells>
  <pageMargins left="0.7" right="0.7" top="0.75" bottom="0.75" header="0.3" footer="0.3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R58"/>
  <sheetViews>
    <sheetView showGridLines="0" tabSelected="1" topLeftCell="A17" workbookViewId="0">
      <selection activeCell="J20" sqref="J20"/>
    </sheetView>
  </sheetViews>
  <sheetFormatPr defaultRowHeight="14"/>
  <cols>
    <col min="1" max="1" width="7" customWidth="1"/>
    <col min="2" max="2" width="54" customWidth="1"/>
    <col min="3" max="3" width="18" customWidth="1"/>
    <col min="4" max="4" width="15" customWidth="1"/>
    <col min="5" max="5" width="14" customWidth="1"/>
    <col min="6" max="6" width="18" customWidth="1"/>
    <col min="7" max="7" width="15" customWidth="1"/>
    <col min="8" max="70" width="3.1640625" customWidth="1"/>
  </cols>
  <sheetData>
    <row r="1" spans="1:70" ht="28" customHeight="1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82" t="s">
        <v>38</v>
      </c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75"/>
      <c r="AC1" s="84" t="s">
        <v>39</v>
      </c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3"/>
      <c r="BF1" s="83"/>
      <c r="BG1" s="75"/>
      <c r="BH1" s="85" t="s">
        <v>40</v>
      </c>
      <c r="BI1" s="83"/>
      <c r="BJ1" s="83"/>
      <c r="BK1" s="83"/>
      <c r="BL1" s="83"/>
      <c r="BM1" s="83"/>
      <c r="BN1" s="83"/>
      <c r="BO1" s="83"/>
      <c r="BP1" s="83"/>
      <c r="BQ1" s="83"/>
      <c r="BR1" s="75"/>
    </row>
    <row r="2" spans="1:70" ht="28" customHeight="1">
      <c r="A2" s="2"/>
      <c r="B2" s="2"/>
      <c r="C2" s="2"/>
      <c r="D2" s="2"/>
      <c r="E2" s="2"/>
      <c r="F2" s="2"/>
      <c r="G2" s="2"/>
      <c r="H2" s="3">
        <v>10</v>
      </c>
      <c r="I2" s="3">
        <v>11</v>
      </c>
      <c r="J2" s="49">
        <v>12</v>
      </c>
      <c r="K2" s="49">
        <v>13</v>
      </c>
      <c r="L2" s="3">
        <v>14</v>
      </c>
      <c r="M2" s="3">
        <v>15</v>
      </c>
      <c r="N2" s="3">
        <v>16</v>
      </c>
      <c r="O2" s="3">
        <v>17</v>
      </c>
      <c r="P2" s="3">
        <v>18</v>
      </c>
      <c r="Q2" s="49">
        <v>19</v>
      </c>
      <c r="R2" s="49">
        <v>20</v>
      </c>
      <c r="S2" s="3">
        <v>21</v>
      </c>
      <c r="T2" s="3">
        <v>22</v>
      </c>
      <c r="U2" s="3">
        <v>23</v>
      </c>
      <c r="V2" s="3">
        <v>24</v>
      </c>
      <c r="W2" s="3">
        <v>25</v>
      </c>
      <c r="X2" s="49">
        <v>26</v>
      </c>
      <c r="Y2" s="49">
        <v>27</v>
      </c>
      <c r="Z2" s="3">
        <v>28</v>
      </c>
      <c r="AA2" s="3">
        <v>29</v>
      </c>
      <c r="AB2" s="3">
        <v>30</v>
      </c>
      <c r="AC2" s="3">
        <v>1</v>
      </c>
      <c r="AD2" s="3">
        <v>2</v>
      </c>
      <c r="AE2" s="49">
        <v>3</v>
      </c>
      <c r="AF2" s="49">
        <v>4</v>
      </c>
      <c r="AG2" s="3">
        <v>5</v>
      </c>
      <c r="AH2" s="3">
        <v>6</v>
      </c>
      <c r="AI2" s="3">
        <v>7</v>
      </c>
      <c r="AJ2" s="3">
        <v>8</v>
      </c>
      <c r="AK2" s="3">
        <v>9</v>
      </c>
      <c r="AL2" s="49">
        <v>10</v>
      </c>
      <c r="AM2" s="49">
        <v>11</v>
      </c>
      <c r="AN2" s="3">
        <v>12</v>
      </c>
      <c r="AO2" s="3">
        <v>13</v>
      </c>
      <c r="AP2" s="3">
        <v>14</v>
      </c>
      <c r="AQ2" s="3">
        <v>15</v>
      </c>
      <c r="AR2" s="3">
        <v>16</v>
      </c>
      <c r="AS2" s="49">
        <v>17</v>
      </c>
      <c r="AT2" s="49">
        <v>18</v>
      </c>
      <c r="AU2" s="3">
        <v>19</v>
      </c>
      <c r="AV2" s="3">
        <v>20</v>
      </c>
      <c r="AW2" s="3">
        <v>21</v>
      </c>
      <c r="AX2" s="3">
        <v>22</v>
      </c>
      <c r="AY2" s="3">
        <v>23</v>
      </c>
      <c r="AZ2" s="49">
        <v>24</v>
      </c>
      <c r="BA2" s="49">
        <v>25</v>
      </c>
      <c r="BB2" s="3">
        <v>26</v>
      </c>
      <c r="BC2" s="3">
        <v>27</v>
      </c>
      <c r="BD2" s="3">
        <v>28</v>
      </c>
      <c r="BE2" s="3">
        <v>29</v>
      </c>
      <c r="BF2" s="3">
        <v>30</v>
      </c>
      <c r="BG2" s="49">
        <v>31</v>
      </c>
      <c r="BH2" s="49">
        <v>1</v>
      </c>
      <c r="BI2" s="3">
        <v>2</v>
      </c>
      <c r="BJ2" s="3">
        <v>3</v>
      </c>
      <c r="BK2" s="3">
        <v>4</v>
      </c>
      <c r="BL2" s="3">
        <v>5</v>
      </c>
      <c r="BM2" s="3">
        <v>6</v>
      </c>
      <c r="BN2" s="49">
        <v>7</v>
      </c>
      <c r="BO2" s="49">
        <v>8</v>
      </c>
      <c r="BP2" s="3">
        <v>9</v>
      </c>
      <c r="BQ2" s="3">
        <v>10</v>
      </c>
      <c r="BR2" s="3">
        <v>11</v>
      </c>
    </row>
    <row r="3" spans="1:70" ht="26" customHeight="1">
      <c r="A3" s="7" t="s">
        <v>41</v>
      </c>
      <c r="B3" s="46" t="s">
        <v>42</v>
      </c>
      <c r="C3" s="7" t="s">
        <v>43</v>
      </c>
      <c r="D3" s="7" t="s">
        <v>44</v>
      </c>
      <c r="E3" s="9">
        <v>46302</v>
      </c>
      <c r="F3" s="7" t="str">
        <f>IF(G3=1,"Đã hoàn thành",IF(G3=0,"Chưa thực hiện","Đang thực hiện"))</f>
        <v>Đã hoàn thành</v>
      </c>
      <c r="G3" s="10">
        <f>AVERAGE(G4,G12,G20)</f>
        <v>1</v>
      </c>
      <c r="H3" s="11"/>
      <c r="I3" s="11"/>
      <c r="J3" s="50"/>
      <c r="K3" s="50"/>
      <c r="L3" s="11"/>
      <c r="M3" s="11"/>
      <c r="N3" s="11"/>
      <c r="O3" s="11"/>
      <c r="P3" s="11"/>
      <c r="Q3" s="50"/>
      <c r="R3" s="50"/>
      <c r="S3" s="11"/>
      <c r="T3" s="11"/>
      <c r="U3" s="11"/>
      <c r="V3" s="11"/>
      <c r="W3" s="11"/>
      <c r="X3" s="50"/>
      <c r="Y3" s="50"/>
      <c r="Z3" s="11"/>
      <c r="AA3" s="11"/>
      <c r="AB3" s="11"/>
      <c r="AC3" s="11"/>
      <c r="AD3" s="11"/>
      <c r="AE3" s="50"/>
      <c r="AF3" s="50"/>
      <c r="AG3" s="11"/>
      <c r="AH3" s="11"/>
      <c r="AI3" s="11"/>
      <c r="AJ3" s="8"/>
      <c r="AK3" s="8"/>
      <c r="AL3" s="50"/>
      <c r="AM3" s="50"/>
      <c r="AN3" s="8"/>
      <c r="AO3" s="8"/>
      <c r="AP3" s="8"/>
      <c r="AQ3" s="8"/>
      <c r="AR3" s="8"/>
      <c r="AS3" s="50"/>
      <c r="AT3" s="50"/>
      <c r="AU3" s="8"/>
      <c r="AV3" s="8"/>
      <c r="AW3" s="8"/>
      <c r="AX3" s="8"/>
      <c r="AY3" s="8"/>
      <c r="AZ3" s="50"/>
      <c r="BA3" s="50"/>
      <c r="BB3" s="8"/>
      <c r="BC3" s="8"/>
      <c r="BD3" s="8"/>
      <c r="BE3" s="8"/>
      <c r="BF3" s="8"/>
      <c r="BG3" s="50"/>
      <c r="BH3" s="50"/>
      <c r="BI3" s="8"/>
      <c r="BJ3" s="8"/>
      <c r="BK3" s="8"/>
      <c r="BL3" s="8"/>
      <c r="BM3" s="8"/>
      <c r="BN3" s="50"/>
      <c r="BO3" s="50"/>
      <c r="BP3" s="8"/>
      <c r="BQ3" s="8"/>
      <c r="BR3" s="8"/>
    </row>
    <row r="4" spans="1:70" ht="26" customHeight="1">
      <c r="A4" s="12" t="s">
        <v>45</v>
      </c>
      <c r="B4" s="43" t="s">
        <v>46</v>
      </c>
      <c r="C4" s="12" t="s">
        <v>43</v>
      </c>
      <c r="D4" s="12" t="s">
        <v>47</v>
      </c>
      <c r="E4" s="14">
        <v>46283</v>
      </c>
      <c r="F4" s="12" t="str">
        <f>IF(G4=1,"Đã hoàn thành",IF(G4=0,"Chưa thực hiện","Đang thực hiện"))</f>
        <v>Đã hoàn thành</v>
      </c>
      <c r="G4" s="15">
        <f>AVERAGE(G5,G6,G7,G8,G9,G10,G11)</f>
        <v>1</v>
      </c>
      <c r="H4" s="16"/>
      <c r="I4" s="16"/>
      <c r="J4" s="51"/>
      <c r="K4" s="51"/>
      <c r="L4" s="16"/>
      <c r="M4" s="16"/>
      <c r="N4" s="16"/>
      <c r="O4" s="16"/>
      <c r="P4" s="16"/>
      <c r="Q4" s="51"/>
      <c r="R4" s="51"/>
      <c r="S4" s="13"/>
      <c r="T4" s="13"/>
      <c r="U4" s="13"/>
      <c r="V4" s="13"/>
      <c r="W4" s="13"/>
      <c r="X4" s="51"/>
      <c r="Y4" s="51"/>
      <c r="Z4" s="13"/>
      <c r="AA4" s="13"/>
      <c r="AB4" s="13"/>
      <c r="AC4" s="13"/>
      <c r="AD4" s="13"/>
      <c r="AE4" s="51"/>
      <c r="AF4" s="51"/>
      <c r="AG4" s="13"/>
      <c r="AH4" s="13"/>
      <c r="AI4" s="13"/>
      <c r="AJ4" s="13"/>
      <c r="AK4" s="13"/>
      <c r="AL4" s="51"/>
      <c r="AM4" s="51"/>
      <c r="AN4" s="13"/>
      <c r="AO4" s="13"/>
      <c r="AP4" s="13"/>
      <c r="AQ4" s="13"/>
      <c r="AR4" s="13"/>
      <c r="AS4" s="51"/>
      <c r="AT4" s="51"/>
      <c r="AU4" s="13"/>
      <c r="AV4" s="13"/>
      <c r="AW4" s="13"/>
      <c r="AX4" s="13"/>
      <c r="AY4" s="13"/>
      <c r="AZ4" s="51"/>
      <c r="BA4" s="51"/>
      <c r="BB4" s="13"/>
      <c r="BC4" s="13"/>
      <c r="BD4" s="13"/>
      <c r="BE4" s="13"/>
      <c r="BF4" s="13"/>
      <c r="BG4" s="51"/>
      <c r="BH4" s="51"/>
      <c r="BI4" s="13"/>
      <c r="BJ4" s="13"/>
      <c r="BK4" s="13"/>
      <c r="BL4" s="13"/>
      <c r="BM4" s="13"/>
      <c r="BN4" s="51"/>
      <c r="BO4" s="51"/>
      <c r="BP4" s="13"/>
      <c r="BQ4" s="13"/>
      <c r="BR4" s="13"/>
    </row>
    <row r="5" spans="1:70" ht="26" customHeight="1">
      <c r="A5" s="5" t="s">
        <v>48</v>
      </c>
      <c r="B5" s="42" t="s">
        <v>49</v>
      </c>
      <c r="C5" s="5" t="s">
        <v>43</v>
      </c>
      <c r="D5" s="5" t="s">
        <v>50</v>
      </c>
      <c r="E5" s="6">
        <v>46275</v>
      </c>
      <c r="F5" s="87" t="s">
        <v>3</v>
      </c>
      <c r="G5" s="18">
        <v>1</v>
      </c>
      <c r="H5" s="17"/>
      <c r="I5" s="4"/>
      <c r="J5" s="52"/>
      <c r="K5" s="52"/>
      <c r="L5" s="4"/>
      <c r="M5" s="4"/>
      <c r="N5" s="4"/>
      <c r="O5" s="4"/>
      <c r="P5" s="4"/>
      <c r="Q5" s="52"/>
      <c r="R5" s="52"/>
      <c r="S5" s="4"/>
      <c r="T5" s="4"/>
      <c r="U5" s="4"/>
      <c r="V5" s="4"/>
      <c r="W5" s="4"/>
      <c r="X5" s="52"/>
      <c r="Y5" s="52"/>
      <c r="Z5" s="4"/>
      <c r="AA5" s="4"/>
      <c r="AB5" s="4"/>
      <c r="AC5" s="4"/>
      <c r="AD5" s="4"/>
      <c r="AE5" s="52"/>
      <c r="AF5" s="52"/>
      <c r="AG5" s="4"/>
      <c r="AH5" s="4"/>
      <c r="AI5" s="4"/>
      <c r="AJ5" s="4"/>
      <c r="AK5" s="4"/>
      <c r="AL5" s="52"/>
      <c r="AM5" s="52"/>
      <c r="AN5" s="4"/>
      <c r="AO5" s="4"/>
      <c r="AP5" s="4"/>
      <c r="AQ5" s="4"/>
      <c r="AR5" s="4"/>
      <c r="AS5" s="52"/>
      <c r="AT5" s="52"/>
      <c r="AU5" s="4"/>
      <c r="AV5" s="4"/>
      <c r="AW5" s="4"/>
      <c r="AX5" s="4"/>
      <c r="AY5" s="4"/>
      <c r="AZ5" s="52"/>
      <c r="BA5" s="52"/>
      <c r="BB5" s="4"/>
      <c r="BC5" s="4"/>
      <c r="BD5" s="4"/>
      <c r="BE5" s="4"/>
      <c r="BF5" s="4"/>
      <c r="BG5" s="52"/>
      <c r="BH5" s="52"/>
      <c r="BI5" s="4"/>
      <c r="BJ5" s="4"/>
      <c r="BK5" s="4"/>
      <c r="BL5" s="4"/>
      <c r="BM5" s="4"/>
      <c r="BN5" s="52"/>
      <c r="BO5" s="52"/>
      <c r="BP5" s="4"/>
      <c r="BQ5" s="4"/>
      <c r="BR5" s="4"/>
    </row>
    <row r="6" spans="1:70" ht="26" customHeight="1">
      <c r="A6" s="5" t="s">
        <v>51</v>
      </c>
      <c r="B6" s="42" t="s">
        <v>52</v>
      </c>
      <c r="C6" s="5" t="s">
        <v>43</v>
      </c>
      <c r="D6" s="5" t="s">
        <v>53</v>
      </c>
      <c r="E6" s="6">
        <v>46275</v>
      </c>
      <c r="F6" s="87" t="s">
        <v>3</v>
      </c>
      <c r="G6" s="18">
        <v>1</v>
      </c>
      <c r="H6" s="17"/>
      <c r="I6" s="4"/>
      <c r="J6" s="52"/>
      <c r="K6" s="52"/>
      <c r="L6" s="4"/>
      <c r="M6" s="4"/>
      <c r="N6" s="4"/>
      <c r="O6" s="4"/>
      <c r="P6" s="4"/>
      <c r="Q6" s="52"/>
      <c r="R6" s="52"/>
      <c r="S6" s="4"/>
      <c r="T6" s="4"/>
      <c r="U6" s="4"/>
      <c r="V6" s="4"/>
      <c r="W6" s="4"/>
      <c r="X6" s="52"/>
      <c r="Y6" s="52"/>
      <c r="Z6" s="4"/>
      <c r="AA6" s="4"/>
      <c r="AB6" s="4"/>
      <c r="AC6" s="4"/>
      <c r="AD6" s="4"/>
      <c r="AE6" s="52"/>
      <c r="AF6" s="52"/>
      <c r="AG6" s="4"/>
      <c r="AH6" s="4"/>
      <c r="AI6" s="4"/>
      <c r="AJ6" s="4"/>
      <c r="AK6" s="4"/>
      <c r="AL6" s="52"/>
      <c r="AM6" s="52"/>
      <c r="AN6" s="4"/>
      <c r="AO6" s="4"/>
      <c r="AP6" s="4"/>
      <c r="AQ6" s="4"/>
      <c r="AR6" s="4"/>
      <c r="AS6" s="52"/>
      <c r="AT6" s="52"/>
      <c r="AU6" s="4"/>
      <c r="AV6" s="4"/>
      <c r="AW6" s="4"/>
      <c r="AX6" s="4"/>
      <c r="AY6" s="4"/>
      <c r="AZ6" s="52"/>
      <c r="BA6" s="52"/>
      <c r="BB6" s="4"/>
      <c r="BC6" s="4"/>
      <c r="BD6" s="4"/>
      <c r="BE6" s="4"/>
      <c r="BF6" s="4"/>
      <c r="BG6" s="52"/>
      <c r="BH6" s="52"/>
      <c r="BI6" s="4"/>
      <c r="BJ6" s="4"/>
      <c r="BK6" s="4"/>
      <c r="BL6" s="4"/>
      <c r="BM6" s="4"/>
      <c r="BN6" s="52"/>
      <c r="BO6" s="52"/>
      <c r="BP6" s="4"/>
      <c r="BQ6" s="4"/>
      <c r="BR6" s="4"/>
    </row>
    <row r="7" spans="1:70" ht="26" customHeight="1">
      <c r="A7" s="5" t="s">
        <v>54</v>
      </c>
      <c r="B7" s="42" t="s">
        <v>55</v>
      </c>
      <c r="C7" s="5" t="s">
        <v>43</v>
      </c>
      <c r="D7" s="5" t="s">
        <v>53</v>
      </c>
      <c r="E7" s="6">
        <v>46276</v>
      </c>
      <c r="F7" s="87" t="s">
        <v>3</v>
      </c>
      <c r="G7" s="18">
        <v>1</v>
      </c>
      <c r="H7" s="17"/>
      <c r="I7" s="17"/>
      <c r="J7" s="52"/>
      <c r="K7" s="52"/>
      <c r="L7" s="4"/>
      <c r="M7" s="4"/>
      <c r="N7" s="4"/>
      <c r="O7" s="4"/>
      <c r="P7" s="4"/>
      <c r="Q7" s="52"/>
      <c r="R7" s="52"/>
      <c r="S7" s="4"/>
      <c r="T7" s="4"/>
      <c r="U7" s="4"/>
      <c r="V7" s="4"/>
      <c r="W7" s="4"/>
      <c r="X7" s="52"/>
      <c r="Y7" s="52"/>
      <c r="Z7" s="4"/>
      <c r="AA7" s="4"/>
      <c r="AB7" s="4"/>
      <c r="AC7" s="4"/>
      <c r="AD7" s="4"/>
      <c r="AE7" s="52"/>
      <c r="AF7" s="52"/>
      <c r="AG7" s="4"/>
      <c r="AH7" s="4"/>
      <c r="AI7" s="4"/>
      <c r="AJ7" s="4"/>
      <c r="AK7" s="4"/>
      <c r="AL7" s="52"/>
      <c r="AM7" s="52"/>
      <c r="AN7" s="4"/>
      <c r="AO7" s="4"/>
      <c r="AP7" s="4"/>
      <c r="AQ7" s="4"/>
      <c r="AR7" s="4"/>
      <c r="AS7" s="52"/>
      <c r="AT7" s="52"/>
      <c r="AU7" s="4"/>
      <c r="AV7" s="4"/>
      <c r="AW7" s="4"/>
      <c r="AX7" s="4"/>
      <c r="AY7" s="4"/>
      <c r="AZ7" s="52"/>
      <c r="BA7" s="52"/>
      <c r="BB7" s="4"/>
      <c r="BC7" s="4"/>
      <c r="BD7" s="4"/>
      <c r="BE7" s="4"/>
      <c r="BF7" s="4"/>
      <c r="BG7" s="52"/>
      <c r="BH7" s="52"/>
      <c r="BI7" s="4"/>
      <c r="BJ7" s="4"/>
      <c r="BK7" s="4"/>
      <c r="BL7" s="4"/>
      <c r="BM7" s="4"/>
      <c r="BN7" s="52"/>
      <c r="BO7" s="52"/>
      <c r="BP7" s="4"/>
      <c r="BQ7" s="4"/>
      <c r="BR7" s="4"/>
    </row>
    <row r="8" spans="1:70" ht="26" customHeight="1">
      <c r="A8" s="5" t="s">
        <v>56</v>
      </c>
      <c r="B8" s="42" t="s">
        <v>57</v>
      </c>
      <c r="C8" s="5" t="s">
        <v>43</v>
      </c>
      <c r="D8" s="5" t="s">
        <v>58</v>
      </c>
      <c r="E8" s="6">
        <v>46277</v>
      </c>
      <c r="F8" s="87" t="s">
        <v>3</v>
      </c>
      <c r="G8" s="18">
        <v>1</v>
      </c>
      <c r="H8" s="17"/>
      <c r="I8" s="17"/>
      <c r="J8" s="53"/>
      <c r="K8" s="52"/>
      <c r="L8" s="4"/>
      <c r="M8" s="4"/>
      <c r="N8" s="4"/>
      <c r="O8" s="4"/>
      <c r="P8" s="4"/>
      <c r="Q8" s="52"/>
      <c r="R8" s="52"/>
      <c r="S8" s="4"/>
      <c r="T8" s="4"/>
      <c r="U8" s="4"/>
      <c r="V8" s="4"/>
      <c r="W8" s="4"/>
      <c r="X8" s="52"/>
      <c r="Y8" s="52"/>
      <c r="Z8" s="4"/>
      <c r="AA8" s="4"/>
      <c r="AB8" s="4"/>
      <c r="AC8" s="4"/>
      <c r="AD8" s="4"/>
      <c r="AE8" s="52"/>
      <c r="AF8" s="52"/>
      <c r="AG8" s="4"/>
      <c r="AH8" s="4"/>
      <c r="AI8" s="4"/>
      <c r="AJ8" s="4"/>
      <c r="AK8" s="4"/>
      <c r="AL8" s="52"/>
      <c r="AM8" s="52"/>
      <c r="AN8" s="4"/>
      <c r="AO8" s="4"/>
      <c r="AP8" s="4"/>
      <c r="AQ8" s="4"/>
      <c r="AR8" s="4"/>
      <c r="AS8" s="52"/>
      <c r="AT8" s="52"/>
      <c r="AU8" s="4"/>
      <c r="AV8" s="4"/>
      <c r="AW8" s="4"/>
      <c r="AX8" s="4"/>
      <c r="AY8" s="4"/>
      <c r="AZ8" s="52"/>
      <c r="BA8" s="52"/>
      <c r="BB8" s="4"/>
      <c r="BC8" s="4"/>
      <c r="BD8" s="4"/>
      <c r="BE8" s="4"/>
      <c r="BF8" s="4"/>
      <c r="BG8" s="52"/>
      <c r="BH8" s="52"/>
      <c r="BI8" s="4"/>
      <c r="BJ8" s="4"/>
      <c r="BK8" s="4"/>
      <c r="BL8" s="4"/>
      <c r="BM8" s="4"/>
      <c r="BN8" s="52"/>
      <c r="BO8" s="52"/>
      <c r="BP8" s="4"/>
      <c r="BQ8" s="4"/>
      <c r="BR8" s="4"/>
    </row>
    <row r="9" spans="1:70" ht="26" customHeight="1">
      <c r="A9" s="5" t="s">
        <v>59</v>
      </c>
      <c r="B9" s="42" t="s">
        <v>60</v>
      </c>
      <c r="C9" s="5" t="s">
        <v>43</v>
      </c>
      <c r="D9" s="5" t="s">
        <v>61</v>
      </c>
      <c r="E9" s="6">
        <v>46281</v>
      </c>
      <c r="F9" s="87" t="s">
        <v>3</v>
      </c>
      <c r="G9" s="18">
        <v>1</v>
      </c>
      <c r="H9" s="4"/>
      <c r="I9" s="4"/>
      <c r="J9" s="52"/>
      <c r="K9" s="53"/>
      <c r="L9" s="17"/>
      <c r="M9" s="17"/>
      <c r="N9" s="17"/>
      <c r="O9" s="4"/>
      <c r="P9" s="4"/>
      <c r="Q9" s="52"/>
      <c r="R9" s="52"/>
      <c r="S9" s="4"/>
      <c r="T9" s="4"/>
      <c r="U9" s="4"/>
      <c r="V9" s="4"/>
      <c r="W9" s="4"/>
      <c r="X9" s="52"/>
      <c r="Y9" s="52"/>
      <c r="Z9" s="4"/>
      <c r="AA9" s="4"/>
      <c r="AB9" s="4"/>
      <c r="AC9" s="4"/>
      <c r="AD9" s="4"/>
      <c r="AE9" s="52"/>
      <c r="AF9" s="52"/>
      <c r="AG9" s="4"/>
      <c r="AH9" s="4"/>
      <c r="AI9" s="4"/>
      <c r="AJ9" s="4"/>
      <c r="AK9" s="4"/>
      <c r="AL9" s="52"/>
      <c r="AM9" s="52"/>
      <c r="AN9" s="4"/>
      <c r="AO9" s="4"/>
      <c r="AP9" s="4"/>
      <c r="AQ9" s="4"/>
      <c r="AR9" s="4"/>
      <c r="AS9" s="52"/>
      <c r="AT9" s="52"/>
      <c r="AU9" s="4"/>
      <c r="AV9" s="4"/>
      <c r="AW9" s="4"/>
      <c r="AX9" s="4"/>
      <c r="AY9" s="4"/>
      <c r="AZ9" s="52"/>
      <c r="BA9" s="52"/>
      <c r="BB9" s="4"/>
      <c r="BC9" s="4"/>
      <c r="BD9" s="4"/>
      <c r="BE9" s="4"/>
      <c r="BF9" s="4"/>
      <c r="BG9" s="52"/>
      <c r="BH9" s="52"/>
      <c r="BI9" s="4"/>
      <c r="BJ9" s="4"/>
      <c r="BK9" s="4"/>
      <c r="BL9" s="4"/>
      <c r="BM9" s="4"/>
      <c r="BN9" s="52"/>
      <c r="BO9" s="52"/>
      <c r="BP9" s="4"/>
      <c r="BQ9" s="4"/>
      <c r="BR9" s="4"/>
    </row>
    <row r="10" spans="1:70" ht="26" customHeight="1">
      <c r="A10" s="5" t="s">
        <v>62</v>
      </c>
      <c r="B10" s="42" t="s">
        <v>63</v>
      </c>
      <c r="C10" s="5" t="s">
        <v>43</v>
      </c>
      <c r="D10" s="5" t="s">
        <v>58</v>
      </c>
      <c r="E10" s="6">
        <v>46280</v>
      </c>
      <c r="F10" s="87" t="s">
        <v>3</v>
      </c>
      <c r="G10" s="18">
        <v>1</v>
      </c>
      <c r="H10" s="4"/>
      <c r="I10" s="4"/>
      <c r="J10" s="52"/>
      <c r="K10" s="53"/>
      <c r="L10" s="17"/>
      <c r="M10" s="17"/>
      <c r="N10" s="4"/>
      <c r="O10" s="4"/>
      <c r="P10" s="4"/>
      <c r="Q10" s="52"/>
      <c r="R10" s="52"/>
      <c r="S10" s="4"/>
      <c r="T10" s="4"/>
      <c r="U10" s="4"/>
      <c r="V10" s="4"/>
      <c r="W10" s="4"/>
      <c r="X10" s="52"/>
      <c r="Y10" s="52"/>
      <c r="Z10" s="4"/>
      <c r="AA10" s="4"/>
      <c r="AB10" s="4"/>
      <c r="AC10" s="4"/>
      <c r="AD10" s="4"/>
      <c r="AE10" s="52"/>
      <c r="AF10" s="52"/>
      <c r="AG10" s="4"/>
      <c r="AH10" s="4"/>
      <c r="AI10" s="4"/>
      <c r="AJ10" s="4"/>
      <c r="AK10" s="4"/>
      <c r="AL10" s="52"/>
      <c r="AM10" s="52"/>
      <c r="AN10" s="4"/>
      <c r="AO10" s="4"/>
      <c r="AP10" s="4"/>
      <c r="AQ10" s="4"/>
      <c r="AR10" s="4"/>
      <c r="AS10" s="52"/>
      <c r="AT10" s="52"/>
      <c r="AU10" s="4"/>
      <c r="AV10" s="4"/>
      <c r="AW10" s="4"/>
      <c r="AX10" s="4"/>
      <c r="AY10" s="4"/>
      <c r="AZ10" s="52"/>
      <c r="BA10" s="52"/>
      <c r="BB10" s="4"/>
      <c r="BC10" s="4"/>
      <c r="BD10" s="4"/>
      <c r="BE10" s="4"/>
      <c r="BF10" s="4"/>
      <c r="BG10" s="52"/>
      <c r="BH10" s="52"/>
      <c r="BI10" s="4"/>
      <c r="BJ10" s="4"/>
      <c r="BK10" s="4"/>
      <c r="BL10" s="4"/>
      <c r="BM10" s="4"/>
      <c r="BN10" s="52"/>
      <c r="BO10" s="52"/>
      <c r="BP10" s="4"/>
      <c r="BQ10" s="4"/>
      <c r="BR10" s="4"/>
    </row>
    <row r="11" spans="1:70" ht="38" customHeight="1">
      <c r="A11" s="5" t="s">
        <v>64</v>
      </c>
      <c r="B11" s="42" t="s">
        <v>65</v>
      </c>
      <c r="C11" s="5" t="s">
        <v>43</v>
      </c>
      <c r="D11" s="5" t="s">
        <v>58</v>
      </c>
      <c r="E11" s="6">
        <v>46283</v>
      </c>
      <c r="F11" s="87" t="s">
        <v>3</v>
      </c>
      <c r="G11" s="18">
        <v>1</v>
      </c>
      <c r="H11" s="4"/>
      <c r="I11" s="4"/>
      <c r="J11" s="52"/>
      <c r="K11" s="52"/>
      <c r="L11" s="4"/>
      <c r="M11" s="4"/>
      <c r="N11" s="17"/>
      <c r="O11" s="17"/>
      <c r="P11" s="17"/>
      <c r="Q11" s="52"/>
      <c r="R11" s="52"/>
      <c r="S11" s="4"/>
      <c r="T11" s="4"/>
      <c r="U11" s="4"/>
      <c r="V11" s="4"/>
      <c r="W11" s="4"/>
      <c r="X11" s="52"/>
      <c r="Y11" s="52"/>
      <c r="Z11" s="4"/>
      <c r="AA11" s="4"/>
      <c r="AB11" s="4"/>
      <c r="AC11" s="4"/>
      <c r="AD11" s="4"/>
      <c r="AE11" s="52"/>
      <c r="AF11" s="52"/>
      <c r="AG11" s="4"/>
      <c r="AH11" s="4"/>
      <c r="AI11" s="4"/>
      <c r="AJ11" s="4"/>
      <c r="AK11" s="4"/>
      <c r="AL11" s="52"/>
      <c r="AM11" s="52"/>
      <c r="AN11" s="4"/>
      <c r="AO11" s="4"/>
      <c r="AP11" s="4"/>
      <c r="AQ11" s="4"/>
      <c r="AR11" s="4"/>
      <c r="AS11" s="52"/>
      <c r="AT11" s="52"/>
      <c r="AU11" s="4"/>
      <c r="AV11" s="4"/>
      <c r="AW11" s="4"/>
      <c r="AX11" s="4"/>
      <c r="AY11" s="4"/>
      <c r="AZ11" s="52"/>
      <c r="BA11" s="52"/>
      <c r="BB11" s="4"/>
      <c r="BC11" s="4"/>
      <c r="BD11" s="4"/>
      <c r="BE11" s="4"/>
      <c r="BF11" s="4"/>
      <c r="BG11" s="52"/>
      <c r="BH11" s="52"/>
      <c r="BI11" s="4"/>
      <c r="BJ11" s="4"/>
      <c r="BK11" s="4"/>
      <c r="BL11" s="4"/>
      <c r="BM11" s="4"/>
      <c r="BN11" s="52"/>
      <c r="BO11" s="52"/>
      <c r="BP11" s="4"/>
      <c r="BQ11" s="4"/>
      <c r="BR11" s="4"/>
    </row>
    <row r="12" spans="1:70" ht="26" customHeight="1">
      <c r="A12" s="12" t="s">
        <v>66</v>
      </c>
      <c r="B12" s="43" t="s">
        <v>67</v>
      </c>
      <c r="C12" s="12" t="s">
        <v>43</v>
      </c>
      <c r="D12" s="12" t="s">
        <v>68</v>
      </c>
      <c r="E12" s="14">
        <v>46302</v>
      </c>
      <c r="F12" s="12" t="str">
        <f>IF(G12=1,"Đã hoàn thành",IF(G12=0,"Chưa thực hiện","Đang thực hiện"))</f>
        <v>Đã hoàn thành</v>
      </c>
      <c r="G12" s="15">
        <f>AVERAGE(G13,G14,G15,G16,G17,G18,G19)</f>
        <v>1</v>
      </c>
      <c r="H12" s="13"/>
      <c r="I12" s="13"/>
      <c r="J12" s="51"/>
      <c r="K12" s="51"/>
      <c r="L12" s="13"/>
      <c r="M12" s="13"/>
      <c r="N12" s="13"/>
      <c r="O12" s="13"/>
      <c r="P12" s="13"/>
      <c r="Q12" s="51"/>
      <c r="R12" s="51"/>
      <c r="S12" s="16"/>
      <c r="T12" s="16"/>
      <c r="U12" s="16"/>
      <c r="V12" s="16"/>
      <c r="W12" s="16"/>
      <c r="X12" s="51"/>
      <c r="Y12" s="51"/>
      <c r="Z12" s="16"/>
      <c r="AA12" s="16"/>
      <c r="AB12" s="16"/>
      <c r="AC12" s="16"/>
      <c r="AD12" s="16"/>
      <c r="AE12" s="51"/>
      <c r="AF12" s="51"/>
      <c r="AG12" s="16"/>
      <c r="AH12" s="16"/>
      <c r="AI12" s="16"/>
      <c r="AJ12" s="13"/>
      <c r="AK12" s="13"/>
      <c r="AL12" s="51"/>
      <c r="AM12" s="51"/>
      <c r="AN12" s="13"/>
      <c r="AO12" s="13"/>
      <c r="AP12" s="13"/>
      <c r="AQ12" s="13"/>
      <c r="AR12" s="13"/>
      <c r="AS12" s="51"/>
      <c r="AT12" s="51"/>
      <c r="AU12" s="13"/>
      <c r="AV12" s="13"/>
      <c r="AW12" s="13"/>
      <c r="AX12" s="13"/>
      <c r="AY12" s="13"/>
      <c r="AZ12" s="51"/>
      <c r="BA12" s="51"/>
      <c r="BB12" s="13"/>
      <c r="BC12" s="13"/>
      <c r="BD12" s="13"/>
      <c r="BE12" s="13"/>
      <c r="BF12" s="13"/>
      <c r="BG12" s="51"/>
      <c r="BH12" s="51"/>
      <c r="BI12" s="13"/>
      <c r="BJ12" s="13"/>
      <c r="BK12" s="13"/>
      <c r="BL12" s="13"/>
      <c r="BM12" s="13"/>
      <c r="BN12" s="51"/>
      <c r="BO12" s="51"/>
      <c r="BP12" s="13"/>
      <c r="BQ12" s="13"/>
      <c r="BR12" s="13"/>
    </row>
    <row r="13" spans="1:70" ht="26" customHeight="1">
      <c r="A13" s="5" t="s">
        <v>69</v>
      </c>
      <c r="B13" s="42" t="s">
        <v>70</v>
      </c>
      <c r="C13" s="5" t="s">
        <v>43</v>
      </c>
      <c r="D13" s="5" t="s">
        <v>58</v>
      </c>
      <c r="E13" s="6">
        <v>46287</v>
      </c>
      <c r="F13" s="88" t="s">
        <v>3</v>
      </c>
      <c r="G13" s="18">
        <v>1</v>
      </c>
      <c r="H13" s="4"/>
      <c r="I13" s="4"/>
      <c r="J13" s="52"/>
      <c r="K13" s="52"/>
      <c r="L13" s="4"/>
      <c r="M13" s="4"/>
      <c r="N13" s="4"/>
      <c r="O13" s="4"/>
      <c r="P13" s="4"/>
      <c r="Q13" s="53"/>
      <c r="R13" s="53"/>
      <c r="S13" s="17"/>
      <c r="T13" s="17"/>
      <c r="U13" s="4"/>
      <c r="V13" s="4"/>
      <c r="W13" s="4"/>
      <c r="X13" s="52"/>
      <c r="Y13" s="52"/>
      <c r="Z13" s="4"/>
      <c r="AA13" s="4"/>
      <c r="AB13" s="4"/>
      <c r="AC13" s="4"/>
      <c r="AD13" s="4"/>
      <c r="AE13" s="52"/>
      <c r="AF13" s="52"/>
      <c r="AG13" s="4"/>
      <c r="AH13" s="4"/>
      <c r="AI13" s="4"/>
      <c r="AJ13" s="4"/>
      <c r="AK13" s="4"/>
      <c r="AL13" s="52"/>
      <c r="AM13" s="52"/>
      <c r="AN13" s="4"/>
      <c r="AO13" s="4"/>
      <c r="AP13" s="4"/>
      <c r="AQ13" s="4"/>
      <c r="AR13" s="4"/>
      <c r="AS13" s="52"/>
      <c r="AT13" s="52"/>
      <c r="AU13" s="4"/>
      <c r="AV13" s="4"/>
      <c r="AW13" s="4"/>
      <c r="AX13" s="4"/>
      <c r="AY13" s="4"/>
      <c r="AZ13" s="52"/>
      <c r="BA13" s="52"/>
      <c r="BB13" s="4"/>
      <c r="BC13" s="4"/>
      <c r="BD13" s="4"/>
      <c r="BE13" s="4"/>
      <c r="BF13" s="4"/>
      <c r="BG13" s="52"/>
      <c r="BH13" s="52"/>
      <c r="BI13" s="4"/>
      <c r="BJ13" s="4"/>
      <c r="BK13" s="4"/>
      <c r="BL13" s="4"/>
      <c r="BM13" s="4"/>
      <c r="BN13" s="52"/>
      <c r="BO13" s="52"/>
      <c r="BP13" s="4"/>
      <c r="BQ13" s="4"/>
      <c r="BR13" s="4"/>
    </row>
    <row r="14" spans="1:70" ht="26" customHeight="1">
      <c r="A14" s="5" t="s">
        <v>71</v>
      </c>
      <c r="B14" s="42" t="s">
        <v>72</v>
      </c>
      <c r="C14" s="5" t="s">
        <v>43</v>
      </c>
      <c r="D14" s="5" t="s">
        <v>61</v>
      </c>
      <c r="E14" s="6">
        <v>46291</v>
      </c>
      <c r="F14" s="87" t="s">
        <v>3</v>
      </c>
      <c r="G14" s="18">
        <v>1</v>
      </c>
      <c r="H14" s="4"/>
      <c r="I14" s="4"/>
      <c r="J14" s="52"/>
      <c r="K14" s="52"/>
      <c r="L14" s="4"/>
      <c r="M14" s="4"/>
      <c r="N14" s="4"/>
      <c r="O14" s="4"/>
      <c r="P14" s="4"/>
      <c r="Q14" s="52"/>
      <c r="R14" s="52"/>
      <c r="S14" s="4"/>
      <c r="T14" s="4"/>
      <c r="U14" s="17"/>
      <c r="V14" s="17"/>
      <c r="W14" s="17"/>
      <c r="X14" s="53"/>
      <c r="Y14" s="52"/>
      <c r="Z14" s="4"/>
      <c r="AA14" s="4"/>
      <c r="AB14" s="4"/>
      <c r="AC14" s="4"/>
      <c r="AD14" s="4"/>
      <c r="AE14" s="52"/>
      <c r="AF14" s="52"/>
      <c r="AG14" s="4"/>
      <c r="AH14" s="4"/>
      <c r="AI14" s="4"/>
      <c r="AJ14" s="4"/>
      <c r="AK14" s="4"/>
      <c r="AL14" s="52"/>
      <c r="AM14" s="52"/>
      <c r="AN14" s="4"/>
      <c r="AO14" s="4"/>
      <c r="AP14" s="4"/>
      <c r="AQ14" s="4"/>
      <c r="AR14" s="4"/>
      <c r="AS14" s="52"/>
      <c r="AT14" s="52"/>
      <c r="AU14" s="4"/>
      <c r="AV14" s="4"/>
      <c r="AW14" s="4"/>
      <c r="AX14" s="4"/>
      <c r="AY14" s="4"/>
      <c r="AZ14" s="52"/>
      <c r="BA14" s="52"/>
      <c r="BB14" s="4"/>
      <c r="BC14" s="4"/>
      <c r="BD14" s="4"/>
      <c r="BE14" s="4"/>
      <c r="BF14" s="4"/>
      <c r="BG14" s="52"/>
      <c r="BH14" s="52"/>
      <c r="BI14" s="4"/>
      <c r="BJ14" s="4"/>
      <c r="BK14" s="4"/>
      <c r="BL14" s="4"/>
      <c r="BM14" s="4"/>
      <c r="BN14" s="52"/>
      <c r="BO14" s="52"/>
      <c r="BP14" s="4"/>
      <c r="BQ14" s="4"/>
      <c r="BR14" s="4"/>
    </row>
    <row r="15" spans="1:70" ht="26" customHeight="1">
      <c r="A15" s="5" t="s">
        <v>73</v>
      </c>
      <c r="B15" s="42" t="s">
        <v>74</v>
      </c>
      <c r="C15" s="5" t="s">
        <v>43</v>
      </c>
      <c r="D15" s="5" t="s">
        <v>58</v>
      </c>
      <c r="E15" s="6">
        <v>46294</v>
      </c>
      <c r="F15" s="87" t="s">
        <v>3</v>
      </c>
      <c r="G15" s="18">
        <v>1</v>
      </c>
      <c r="H15" s="4"/>
      <c r="I15" s="4"/>
      <c r="J15" s="52"/>
      <c r="K15" s="52"/>
      <c r="L15" s="4"/>
      <c r="M15" s="4"/>
      <c r="N15" s="4"/>
      <c r="O15" s="4"/>
      <c r="P15" s="4"/>
      <c r="Q15" s="52"/>
      <c r="R15" s="52"/>
      <c r="S15" s="4"/>
      <c r="T15" s="4"/>
      <c r="U15" s="4"/>
      <c r="V15" s="4"/>
      <c r="W15" s="4"/>
      <c r="X15" s="52"/>
      <c r="Y15" s="53"/>
      <c r="Z15" s="17"/>
      <c r="AA15" s="17"/>
      <c r="AB15" s="4"/>
      <c r="AC15" s="4"/>
      <c r="AD15" s="4"/>
      <c r="AE15" s="52"/>
      <c r="AF15" s="52"/>
      <c r="AG15" s="4"/>
      <c r="AH15" s="4"/>
      <c r="AI15" s="4"/>
      <c r="AJ15" s="4"/>
      <c r="AK15" s="4"/>
      <c r="AL15" s="52"/>
      <c r="AM15" s="52"/>
      <c r="AN15" s="4"/>
      <c r="AO15" s="4"/>
      <c r="AP15" s="4"/>
      <c r="AQ15" s="4"/>
      <c r="AR15" s="4"/>
      <c r="AS15" s="52"/>
      <c r="AT15" s="52"/>
      <c r="AU15" s="4"/>
      <c r="AV15" s="4"/>
      <c r="AW15" s="4"/>
      <c r="AX15" s="4"/>
      <c r="AY15" s="4"/>
      <c r="AZ15" s="52"/>
      <c r="BA15" s="52"/>
      <c r="BB15" s="4"/>
      <c r="BC15" s="4"/>
      <c r="BD15" s="4"/>
      <c r="BE15" s="4"/>
      <c r="BF15" s="4"/>
      <c r="BG15" s="52"/>
      <c r="BH15" s="52"/>
      <c r="BI15" s="4"/>
      <c r="BJ15" s="4"/>
      <c r="BK15" s="4"/>
      <c r="BL15" s="4"/>
      <c r="BM15" s="4"/>
      <c r="BN15" s="52"/>
      <c r="BO15" s="52"/>
      <c r="BP15" s="4"/>
      <c r="BQ15" s="4"/>
      <c r="BR15" s="4"/>
    </row>
    <row r="16" spans="1:70" ht="26" customHeight="1">
      <c r="A16" s="5" t="s">
        <v>75</v>
      </c>
      <c r="B16" s="42" t="s">
        <v>76</v>
      </c>
      <c r="C16" s="5" t="s">
        <v>43</v>
      </c>
      <c r="D16" s="5" t="s">
        <v>53</v>
      </c>
      <c r="E16" s="6">
        <v>46296</v>
      </c>
      <c r="F16" s="87" t="s">
        <v>3</v>
      </c>
      <c r="G16" s="18">
        <v>1</v>
      </c>
      <c r="H16" s="4"/>
      <c r="I16" s="4"/>
      <c r="J16" s="52"/>
      <c r="K16" s="52"/>
      <c r="L16" s="4"/>
      <c r="M16" s="4"/>
      <c r="N16" s="4"/>
      <c r="O16" s="4"/>
      <c r="P16" s="4"/>
      <c r="Q16" s="52"/>
      <c r="R16" s="52"/>
      <c r="S16" s="4"/>
      <c r="T16" s="4"/>
      <c r="U16" s="4"/>
      <c r="V16" s="4"/>
      <c r="W16" s="4"/>
      <c r="X16" s="52"/>
      <c r="Y16" s="52"/>
      <c r="Z16" s="4"/>
      <c r="AA16" s="4"/>
      <c r="AB16" s="17"/>
      <c r="AC16" s="17"/>
      <c r="AD16" s="4"/>
      <c r="AE16" s="52"/>
      <c r="AF16" s="52"/>
      <c r="AG16" s="4"/>
      <c r="AH16" s="4"/>
      <c r="AI16" s="4"/>
      <c r="AJ16" s="4"/>
      <c r="AK16" s="4"/>
      <c r="AL16" s="52"/>
      <c r="AM16" s="52"/>
      <c r="AN16" s="4"/>
      <c r="AO16" s="4"/>
      <c r="AP16" s="4"/>
      <c r="AQ16" s="4"/>
      <c r="AR16" s="4"/>
      <c r="AS16" s="52"/>
      <c r="AT16" s="52"/>
      <c r="AU16" s="4"/>
      <c r="AV16" s="4"/>
      <c r="AW16" s="4"/>
      <c r="AX16" s="4"/>
      <c r="AY16" s="4"/>
      <c r="AZ16" s="52"/>
      <c r="BA16" s="52"/>
      <c r="BB16" s="4"/>
      <c r="BC16" s="4"/>
      <c r="BD16" s="4"/>
      <c r="BE16" s="4"/>
      <c r="BF16" s="4"/>
      <c r="BG16" s="52"/>
      <c r="BH16" s="52"/>
      <c r="BI16" s="4"/>
      <c r="BJ16" s="4"/>
      <c r="BK16" s="4"/>
      <c r="BL16" s="4"/>
      <c r="BM16" s="4"/>
      <c r="BN16" s="52"/>
      <c r="BO16" s="52"/>
      <c r="BP16" s="4"/>
      <c r="BQ16" s="4"/>
      <c r="BR16" s="4"/>
    </row>
    <row r="17" spans="1:70" ht="26" customHeight="1">
      <c r="A17" s="5" t="s">
        <v>77</v>
      </c>
      <c r="B17" s="42" t="s">
        <v>78</v>
      </c>
      <c r="C17" s="5" t="s">
        <v>43</v>
      </c>
      <c r="D17" s="5" t="s">
        <v>53</v>
      </c>
      <c r="E17" s="6">
        <v>46298</v>
      </c>
      <c r="F17" s="87" t="s">
        <v>3</v>
      </c>
      <c r="G17" s="18">
        <v>1</v>
      </c>
      <c r="H17" s="4"/>
      <c r="I17" s="4"/>
      <c r="J17" s="52"/>
      <c r="K17" s="52"/>
      <c r="L17" s="4"/>
      <c r="M17" s="4"/>
      <c r="N17" s="4"/>
      <c r="O17" s="4"/>
      <c r="P17" s="4"/>
      <c r="Q17" s="52"/>
      <c r="R17" s="52"/>
      <c r="S17" s="4"/>
      <c r="T17" s="4"/>
      <c r="U17" s="4"/>
      <c r="V17" s="4"/>
      <c r="W17" s="4"/>
      <c r="X17" s="52"/>
      <c r="Y17" s="52"/>
      <c r="Z17" s="4"/>
      <c r="AA17" s="4"/>
      <c r="AB17" s="4"/>
      <c r="AC17" s="4"/>
      <c r="AD17" s="17"/>
      <c r="AE17" s="53"/>
      <c r="AF17" s="52"/>
      <c r="AG17" s="4"/>
      <c r="AH17" s="4"/>
      <c r="AI17" s="4"/>
      <c r="AJ17" s="4"/>
      <c r="AK17" s="4"/>
      <c r="AL17" s="52"/>
      <c r="AM17" s="52"/>
      <c r="AN17" s="4"/>
      <c r="AO17" s="4"/>
      <c r="AP17" s="4"/>
      <c r="AQ17" s="4"/>
      <c r="AR17" s="4"/>
      <c r="AS17" s="52"/>
      <c r="AT17" s="52"/>
      <c r="AU17" s="4"/>
      <c r="AV17" s="4"/>
      <c r="AW17" s="4"/>
      <c r="AX17" s="4"/>
      <c r="AY17" s="4"/>
      <c r="AZ17" s="52"/>
      <c r="BA17" s="52"/>
      <c r="BB17" s="4"/>
      <c r="BC17" s="4"/>
      <c r="BD17" s="4"/>
      <c r="BE17" s="4"/>
      <c r="BF17" s="4"/>
      <c r="BG17" s="52"/>
      <c r="BH17" s="52"/>
      <c r="BI17" s="4"/>
      <c r="BJ17" s="4"/>
      <c r="BK17" s="4"/>
      <c r="BL17" s="4"/>
      <c r="BM17" s="4"/>
      <c r="BN17" s="52"/>
      <c r="BO17" s="52"/>
      <c r="BP17" s="4"/>
      <c r="BQ17" s="4"/>
      <c r="BR17" s="4"/>
    </row>
    <row r="18" spans="1:70" ht="26" customHeight="1">
      <c r="A18" s="5" t="s">
        <v>79</v>
      </c>
      <c r="B18" s="42" t="s">
        <v>80</v>
      </c>
      <c r="C18" s="5" t="s">
        <v>43</v>
      </c>
      <c r="D18" s="5" t="s">
        <v>58</v>
      </c>
      <c r="E18" s="6">
        <v>46302</v>
      </c>
      <c r="F18" s="87" t="s">
        <v>3</v>
      </c>
      <c r="G18" s="18">
        <v>1</v>
      </c>
      <c r="H18" s="4"/>
      <c r="I18" s="4"/>
      <c r="J18" s="52"/>
      <c r="K18" s="52"/>
      <c r="L18" s="4"/>
      <c r="M18" s="4"/>
      <c r="N18" s="4"/>
      <c r="O18" s="4"/>
      <c r="P18" s="4"/>
      <c r="Q18" s="52"/>
      <c r="R18" s="52"/>
      <c r="S18" s="4"/>
      <c r="T18" s="4"/>
      <c r="U18" s="4"/>
      <c r="V18" s="4"/>
      <c r="W18" s="4"/>
      <c r="X18" s="52"/>
      <c r="Y18" s="52"/>
      <c r="Z18" s="4"/>
      <c r="AA18" s="4"/>
      <c r="AB18" s="4"/>
      <c r="AC18" s="4"/>
      <c r="AD18" s="4"/>
      <c r="AE18" s="52"/>
      <c r="AF18" s="53"/>
      <c r="AG18" s="17"/>
      <c r="AH18" s="17"/>
      <c r="AI18" s="17"/>
      <c r="AJ18" s="4"/>
      <c r="AK18" s="4"/>
      <c r="AL18" s="52"/>
      <c r="AM18" s="52"/>
      <c r="AN18" s="4"/>
      <c r="AO18" s="4"/>
      <c r="AP18" s="4"/>
      <c r="AQ18" s="4"/>
      <c r="AR18" s="4"/>
      <c r="AS18" s="52"/>
      <c r="AT18" s="52"/>
      <c r="AU18" s="4"/>
      <c r="AV18" s="4"/>
      <c r="AW18" s="4"/>
      <c r="AX18" s="4"/>
      <c r="AY18" s="4"/>
      <c r="AZ18" s="52"/>
      <c r="BA18" s="52"/>
      <c r="BB18" s="4"/>
      <c r="BC18" s="4"/>
      <c r="BD18" s="4"/>
      <c r="BE18" s="4"/>
      <c r="BF18" s="4"/>
      <c r="BG18" s="52"/>
      <c r="BH18" s="52"/>
      <c r="BI18" s="4"/>
      <c r="BJ18" s="4"/>
      <c r="BK18" s="4"/>
      <c r="BL18" s="4"/>
      <c r="BM18" s="4"/>
      <c r="BN18" s="52"/>
      <c r="BO18" s="52"/>
      <c r="BP18" s="4"/>
      <c r="BQ18" s="4"/>
      <c r="BR18" s="4"/>
    </row>
    <row r="19" spans="1:70" ht="38" customHeight="1">
      <c r="A19" s="5" t="s">
        <v>81</v>
      </c>
      <c r="B19" s="42" t="s">
        <v>82</v>
      </c>
      <c r="C19" s="5" t="s">
        <v>43</v>
      </c>
      <c r="D19" s="5" t="s">
        <v>58</v>
      </c>
      <c r="E19" s="6">
        <v>46302</v>
      </c>
      <c r="F19" s="87" t="s">
        <v>3</v>
      </c>
      <c r="G19" s="18">
        <v>1</v>
      </c>
      <c r="H19" s="4"/>
      <c r="I19" s="4"/>
      <c r="J19" s="52"/>
      <c r="K19" s="52"/>
      <c r="L19" s="4"/>
      <c r="M19" s="4"/>
      <c r="N19" s="4"/>
      <c r="O19" s="4"/>
      <c r="P19" s="4"/>
      <c r="Q19" s="52"/>
      <c r="R19" s="52"/>
      <c r="S19" s="4"/>
      <c r="T19" s="4"/>
      <c r="U19" s="4"/>
      <c r="V19" s="4"/>
      <c r="W19" s="4"/>
      <c r="X19" s="52"/>
      <c r="Y19" s="52"/>
      <c r="Z19" s="4"/>
      <c r="AA19" s="4"/>
      <c r="AB19" s="4"/>
      <c r="AC19" s="4"/>
      <c r="AD19" s="4"/>
      <c r="AE19" s="52"/>
      <c r="AF19" s="53"/>
      <c r="AG19" s="17"/>
      <c r="AH19" s="17"/>
      <c r="AI19" s="17"/>
      <c r="AJ19" s="4"/>
      <c r="AK19" s="4"/>
      <c r="AL19" s="52"/>
      <c r="AM19" s="52"/>
      <c r="AN19" s="4"/>
      <c r="AO19" s="4"/>
      <c r="AP19" s="4"/>
      <c r="AQ19" s="4"/>
      <c r="AR19" s="4"/>
      <c r="AS19" s="52"/>
      <c r="AT19" s="52"/>
      <c r="AU19" s="4"/>
      <c r="AV19" s="4"/>
      <c r="AW19" s="4"/>
      <c r="AX19" s="4"/>
      <c r="AY19" s="4"/>
      <c r="AZ19" s="52"/>
      <c r="BA19" s="52"/>
      <c r="BB19" s="4"/>
      <c r="BC19" s="4"/>
      <c r="BD19" s="4"/>
      <c r="BE19" s="4"/>
      <c r="BF19" s="4"/>
      <c r="BG19" s="52"/>
      <c r="BH19" s="52"/>
      <c r="BI19" s="4"/>
      <c r="BJ19" s="4"/>
      <c r="BK19" s="4"/>
      <c r="BL19" s="4"/>
      <c r="BM19" s="4"/>
      <c r="BN19" s="52"/>
      <c r="BO19" s="52"/>
      <c r="BP19" s="4"/>
      <c r="BQ19" s="4"/>
      <c r="BR19" s="4"/>
    </row>
    <row r="20" spans="1:70" ht="26" customHeight="1">
      <c r="A20" s="12" t="s">
        <v>83</v>
      </c>
      <c r="B20" s="43" t="s">
        <v>84</v>
      </c>
      <c r="C20" s="12" t="s">
        <v>43</v>
      </c>
      <c r="D20" s="12" t="s">
        <v>85</v>
      </c>
      <c r="E20" s="14">
        <v>46302</v>
      </c>
      <c r="F20" s="12" t="str">
        <f>IF(G20=1,"Đã hoàn thành",IF(G20=0,"Chưa thực hiện","Đang thực hiện"))</f>
        <v>Đã hoàn thành</v>
      </c>
      <c r="G20" s="15">
        <f>AVERAGE(G21,G22,G23,G24,G25)</f>
        <v>1</v>
      </c>
      <c r="H20" s="13"/>
      <c r="I20" s="13"/>
      <c r="J20" s="51"/>
      <c r="K20" s="51"/>
      <c r="L20" s="13"/>
      <c r="M20" s="13"/>
      <c r="N20" s="13"/>
      <c r="O20" s="13"/>
      <c r="P20" s="13"/>
      <c r="Q20" s="51"/>
      <c r="R20" s="51"/>
      <c r="S20" s="13"/>
      <c r="T20" s="13"/>
      <c r="U20" s="13"/>
      <c r="V20" s="13"/>
      <c r="W20" s="13"/>
      <c r="X20" s="51"/>
      <c r="Y20" s="51"/>
      <c r="Z20" s="16"/>
      <c r="AA20" s="16"/>
      <c r="AB20" s="16"/>
      <c r="AC20" s="16"/>
      <c r="AD20" s="16"/>
      <c r="AE20" s="51"/>
      <c r="AF20" s="51"/>
      <c r="AG20" s="16"/>
      <c r="AH20" s="16"/>
      <c r="AI20" s="16"/>
      <c r="AJ20" s="13"/>
      <c r="AK20" s="13"/>
      <c r="AL20" s="51"/>
      <c r="AM20" s="51"/>
      <c r="AN20" s="13"/>
      <c r="AO20" s="13"/>
      <c r="AP20" s="13"/>
      <c r="AQ20" s="13"/>
      <c r="AR20" s="13"/>
      <c r="AS20" s="51"/>
      <c r="AT20" s="51"/>
      <c r="AU20" s="13"/>
      <c r="AV20" s="13"/>
      <c r="AW20" s="13"/>
      <c r="AX20" s="13"/>
      <c r="AY20" s="13"/>
      <c r="AZ20" s="51"/>
      <c r="BA20" s="51"/>
      <c r="BB20" s="13"/>
      <c r="BC20" s="13"/>
      <c r="BD20" s="13"/>
      <c r="BE20" s="13"/>
      <c r="BF20" s="13"/>
      <c r="BG20" s="51"/>
      <c r="BH20" s="51"/>
      <c r="BI20" s="13"/>
      <c r="BJ20" s="13"/>
      <c r="BK20" s="13"/>
      <c r="BL20" s="13"/>
      <c r="BM20" s="13"/>
      <c r="BN20" s="51"/>
      <c r="BO20" s="51"/>
      <c r="BP20" s="13"/>
      <c r="BQ20" s="13"/>
      <c r="BR20" s="13"/>
    </row>
    <row r="21" spans="1:70" ht="26" customHeight="1">
      <c r="A21" s="5" t="s">
        <v>86</v>
      </c>
      <c r="B21" s="42" t="s">
        <v>87</v>
      </c>
      <c r="C21" s="5" t="s">
        <v>43</v>
      </c>
      <c r="D21" s="5" t="s">
        <v>58</v>
      </c>
      <c r="E21" s="6">
        <v>46294</v>
      </c>
      <c r="F21" s="87" t="s">
        <v>3</v>
      </c>
      <c r="G21" s="18">
        <v>1</v>
      </c>
      <c r="H21" s="4"/>
      <c r="I21" s="4"/>
      <c r="J21" s="52"/>
      <c r="K21" s="52"/>
      <c r="L21" s="4"/>
      <c r="M21" s="4"/>
      <c r="N21" s="4"/>
      <c r="O21" s="4"/>
      <c r="P21" s="4"/>
      <c r="Q21" s="52"/>
      <c r="R21" s="52"/>
      <c r="S21" s="4"/>
      <c r="T21" s="4"/>
      <c r="U21" s="4"/>
      <c r="V21" s="4"/>
      <c r="W21" s="4"/>
      <c r="X21" s="52"/>
      <c r="Y21" s="53"/>
      <c r="Z21" s="17"/>
      <c r="AA21" s="17"/>
      <c r="AB21" s="4"/>
      <c r="AC21" s="4"/>
      <c r="AD21" s="4"/>
      <c r="AE21" s="52"/>
      <c r="AF21" s="52"/>
      <c r="AG21" s="4"/>
      <c r="AH21" s="4"/>
      <c r="AI21" s="4"/>
      <c r="AJ21" s="4"/>
      <c r="AK21" s="4"/>
      <c r="AL21" s="52"/>
      <c r="AM21" s="52"/>
      <c r="AN21" s="4"/>
      <c r="AO21" s="4"/>
      <c r="AP21" s="4"/>
      <c r="AQ21" s="4"/>
      <c r="AR21" s="4"/>
      <c r="AS21" s="52"/>
      <c r="AT21" s="52"/>
      <c r="AU21" s="4"/>
      <c r="AV21" s="4"/>
      <c r="AW21" s="4"/>
      <c r="AX21" s="4"/>
      <c r="AY21" s="4"/>
      <c r="AZ21" s="52"/>
      <c r="BA21" s="52"/>
      <c r="BB21" s="4"/>
      <c r="BC21" s="4"/>
      <c r="BD21" s="4"/>
      <c r="BE21" s="4"/>
      <c r="BF21" s="4"/>
      <c r="BG21" s="52"/>
      <c r="BH21" s="52"/>
      <c r="BI21" s="4"/>
      <c r="BJ21" s="4"/>
      <c r="BK21" s="4"/>
      <c r="BL21" s="4"/>
      <c r="BM21" s="4"/>
      <c r="BN21" s="52"/>
      <c r="BO21" s="52"/>
      <c r="BP21" s="4"/>
      <c r="BQ21" s="4"/>
      <c r="BR21" s="4"/>
    </row>
    <row r="22" spans="1:70" ht="26" customHeight="1">
      <c r="A22" s="5" t="s">
        <v>88</v>
      </c>
      <c r="B22" s="42" t="s">
        <v>89</v>
      </c>
      <c r="C22" s="5" t="s">
        <v>43</v>
      </c>
      <c r="D22" s="5" t="s">
        <v>58</v>
      </c>
      <c r="E22" s="6">
        <v>46297</v>
      </c>
      <c r="F22" s="87" t="s">
        <v>3</v>
      </c>
      <c r="G22" s="18">
        <v>1</v>
      </c>
      <c r="H22" s="4"/>
      <c r="I22" s="4"/>
      <c r="J22" s="52"/>
      <c r="K22" s="52"/>
      <c r="L22" s="4"/>
      <c r="M22" s="4"/>
      <c r="N22" s="4"/>
      <c r="O22" s="4"/>
      <c r="P22" s="4"/>
      <c r="Q22" s="52"/>
      <c r="R22" s="52"/>
      <c r="S22" s="4"/>
      <c r="T22" s="4"/>
      <c r="U22" s="4"/>
      <c r="V22" s="4"/>
      <c r="W22" s="4"/>
      <c r="X22" s="52"/>
      <c r="Y22" s="52"/>
      <c r="Z22" s="4"/>
      <c r="AA22" s="4"/>
      <c r="AB22" s="17"/>
      <c r="AC22" s="17"/>
      <c r="AD22" s="17"/>
      <c r="AE22" s="52"/>
      <c r="AF22" s="52"/>
      <c r="AG22" s="4"/>
      <c r="AH22" s="4"/>
      <c r="AI22" s="4"/>
      <c r="AJ22" s="4"/>
      <c r="AK22" s="4"/>
      <c r="AL22" s="52"/>
      <c r="AM22" s="52"/>
      <c r="AN22" s="4"/>
      <c r="AO22" s="4"/>
      <c r="AP22" s="4"/>
      <c r="AQ22" s="4"/>
      <c r="AR22" s="4"/>
      <c r="AS22" s="52"/>
      <c r="AT22" s="52"/>
      <c r="AU22" s="4"/>
      <c r="AV22" s="4"/>
      <c r="AW22" s="4"/>
      <c r="AX22" s="4"/>
      <c r="AY22" s="4"/>
      <c r="AZ22" s="52"/>
      <c r="BA22" s="52"/>
      <c r="BB22" s="4"/>
      <c r="BC22" s="4"/>
      <c r="BD22" s="4"/>
      <c r="BE22" s="4"/>
      <c r="BF22" s="4"/>
      <c r="BG22" s="52"/>
      <c r="BH22" s="52"/>
      <c r="BI22" s="4"/>
      <c r="BJ22" s="4"/>
      <c r="BK22" s="4"/>
      <c r="BL22" s="4"/>
      <c r="BM22" s="4"/>
      <c r="BN22" s="52"/>
      <c r="BO22" s="52"/>
      <c r="BP22" s="4"/>
      <c r="BQ22" s="4"/>
      <c r="BR22" s="4"/>
    </row>
    <row r="23" spans="1:70" ht="26" customHeight="1">
      <c r="A23" s="5" t="s">
        <v>90</v>
      </c>
      <c r="B23" s="42" t="s">
        <v>91</v>
      </c>
      <c r="C23" s="5" t="s">
        <v>43</v>
      </c>
      <c r="D23" s="5" t="s">
        <v>53</v>
      </c>
      <c r="E23" s="6">
        <v>46299</v>
      </c>
      <c r="F23" s="87" t="s">
        <v>3</v>
      </c>
      <c r="G23" s="18">
        <v>1</v>
      </c>
      <c r="H23" s="4"/>
      <c r="I23" s="4"/>
      <c r="J23" s="52"/>
      <c r="K23" s="52"/>
      <c r="L23" s="4"/>
      <c r="M23" s="4"/>
      <c r="N23" s="4"/>
      <c r="O23" s="4"/>
      <c r="P23" s="4"/>
      <c r="Q23" s="52"/>
      <c r="R23" s="52"/>
      <c r="S23" s="4"/>
      <c r="T23" s="4"/>
      <c r="U23" s="4"/>
      <c r="V23" s="4"/>
      <c r="W23" s="4"/>
      <c r="X23" s="52"/>
      <c r="Y23" s="52"/>
      <c r="Z23" s="4"/>
      <c r="AA23" s="4"/>
      <c r="AB23" s="4"/>
      <c r="AC23" s="4"/>
      <c r="AD23" s="4"/>
      <c r="AE23" s="53"/>
      <c r="AF23" s="53"/>
      <c r="AG23" s="4"/>
      <c r="AH23" s="4"/>
      <c r="AI23" s="4"/>
      <c r="AJ23" s="4"/>
      <c r="AK23" s="4"/>
      <c r="AL23" s="52"/>
      <c r="AM23" s="52"/>
      <c r="AN23" s="4"/>
      <c r="AO23" s="4"/>
      <c r="AP23" s="4"/>
      <c r="AQ23" s="4"/>
      <c r="AR23" s="4"/>
      <c r="AS23" s="52"/>
      <c r="AT23" s="52"/>
      <c r="AU23" s="4"/>
      <c r="AV23" s="4"/>
      <c r="AW23" s="4"/>
      <c r="AX23" s="4"/>
      <c r="AY23" s="4"/>
      <c r="AZ23" s="52"/>
      <c r="BA23" s="52"/>
      <c r="BB23" s="4"/>
      <c r="BC23" s="4"/>
      <c r="BD23" s="4"/>
      <c r="BE23" s="4"/>
      <c r="BF23" s="4"/>
      <c r="BG23" s="52"/>
      <c r="BH23" s="52"/>
      <c r="BI23" s="4"/>
      <c r="BJ23" s="4"/>
      <c r="BK23" s="4"/>
      <c r="BL23" s="4"/>
      <c r="BM23" s="4"/>
      <c r="BN23" s="52"/>
      <c r="BO23" s="52"/>
      <c r="BP23" s="4"/>
      <c r="BQ23" s="4"/>
      <c r="BR23" s="4"/>
    </row>
    <row r="24" spans="1:70" ht="26" customHeight="1">
      <c r="A24" s="5" t="s">
        <v>92</v>
      </c>
      <c r="B24" s="42" t="s">
        <v>93</v>
      </c>
      <c r="C24" s="5" t="s">
        <v>43</v>
      </c>
      <c r="D24" s="5" t="s">
        <v>53</v>
      </c>
      <c r="E24" s="6">
        <v>46301</v>
      </c>
      <c r="F24" s="87" t="s">
        <v>3</v>
      </c>
      <c r="G24" s="18">
        <v>1</v>
      </c>
      <c r="H24" s="4"/>
      <c r="I24" s="4"/>
      <c r="J24" s="52"/>
      <c r="K24" s="52"/>
      <c r="L24" s="4"/>
      <c r="M24" s="4"/>
      <c r="N24" s="4"/>
      <c r="O24" s="4"/>
      <c r="P24" s="4"/>
      <c r="Q24" s="52"/>
      <c r="R24" s="52"/>
      <c r="S24" s="4"/>
      <c r="T24" s="4"/>
      <c r="U24" s="4"/>
      <c r="V24" s="4"/>
      <c r="W24" s="4"/>
      <c r="X24" s="52"/>
      <c r="Y24" s="52"/>
      <c r="Z24" s="4"/>
      <c r="AA24" s="4"/>
      <c r="AB24" s="4"/>
      <c r="AC24" s="4"/>
      <c r="AD24" s="4"/>
      <c r="AE24" s="52"/>
      <c r="AF24" s="52"/>
      <c r="AG24" s="17"/>
      <c r="AH24" s="17"/>
      <c r="AI24" s="4"/>
      <c r="AJ24" s="4"/>
      <c r="AK24" s="4"/>
      <c r="AL24" s="52"/>
      <c r="AM24" s="52"/>
      <c r="AN24" s="4"/>
      <c r="AO24" s="4"/>
      <c r="AP24" s="4"/>
      <c r="AQ24" s="4"/>
      <c r="AR24" s="4"/>
      <c r="AS24" s="52"/>
      <c r="AT24" s="52"/>
      <c r="AU24" s="4"/>
      <c r="AV24" s="4"/>
      <c r="AW24" s="4"/>
      <c r="AX24" s="4"/>
      <c r="AY24" s="4"/>
      <c r="AZ24" s="52"/>
      <c r="BA24" s="52"/>
      <c r="BB24" s="4"/>
      <c r="BC24" s="4"/>
      <c r="BD24" s="4"/>
      <c r="BE24" s="4"/>
      <c r="BF24" s="4"/>
      <c r="BG24" s="52"/>
      <c r="BH24" s="52"/>
      <c r="BI24" s="4"/>
      <c r="BJ24" s="4"/>
      <c r="BK24" s="4"/>
      <c r="BL24" s="4"/>
      <c r="BM24" s="4"/>
      <c r="BN24" s="52"/>
      <c r="BO24" s="52"/>
      <c r="BP24" s="4"/>
      <c r="BQ24" s="4"/>
      <c r="BR24" s="4"/>
    </row>
    <row r="25" spans="1:70" ht="26" customHeight="1">
      <c r="A25" s="5" t="s">
        <v>94</v>
      </c>
      <c r="B25" s="42" t="s">
        <v>95</v>
      </c>
      <c r="C25" s="5" t="s">
        <v>43</v>
      </c>
      <c r="D25" s="5" t="s">
        <v>50</v>
      </c>
      <c r="E25" s="6">
        <v>46302</v>
      </c>
      <c r="F25" s="87" t="s">
        <v>3</v>
      </c>
      <c r="G25" s="18">
        <v>1</v>
      </c>
      <c r="H25" s="4"/>
      <c r="I25" s="4"/>
      <c r="J25" s="52"/>
      <c r="K25" s="52"/>
      <c r="L25" s="4"/>
      <c r="M25" s="4"/>
      <c r="N25" s="4"/>
      <c r="O25" s="4"/>
      <c r="P25" s="4"/>
      <c r="Q25" s="52"/>
      <c r="R25" s="52"/>
      <c r="S25" s="4"/>
      <c r="T25" s="4"/>
      <c r="U25" s="4"/>
      <c r="V25" s="4"/>
      <c r="W25" s="4"/>
      <c r="X25" s="52"/>
      <c r="Y25" s="52"/>
      <c r="Z25" s="4"/>
      <c r="AA25" s="4"/>
      <c r="AB25" s="4"/>
      <c r="AC25" s="4"/>
      <c r="AD25" s="4"/>
      <c r="AE25" s="52"/>
      <c r="AF25" s="52"/>
      <c r="AG25" s="4"/>
      <c r="AH25" s="4"/>
      <c r="AI25" s="17"/>
      <c r="AJ25" s="4"/>
      <c r="AK25" s="4"/>
      <c r="AL25" s="52"/>
      <c r="AM25" s="52"/>
      <c r="AN25" s="4"/>
      <c r="AO25" s="4"/>
      <c r="AP25" s="4"/>
      <c r="AQ25" s="4"/>
      <c r="AR25" s="4"/>
      <c r="AS25" s="52"/>
      <c r="AT25" s="52"/>
      <c r="AU25" s="4"/>
      <c r="AV25" s="4"/>
      <c r="AW25" s="4"/>
      <c r="AX25" s="4"/>
      <c r="AY25" s="4"/>
      <c r="AZ25" s="52"/>
      <c r="BA25" s="52"/>
      <c r="BB25" s="4"/>
      <c r="BC25" s="4"/>
      <c r="BD25" s="4"/>
      <c r="BE25" s="4"/>
      <c r="BF25" s="4"/>
      <c r="BG25" s="52"/>
      <c r="BH25" s="52"/>
      <c r="BI25" s="4"/>
      <c r="BJ25" s="4"/>
      <c r="BK25" s="4"/>
      <c r="BL25" s="4"/>
      <c r="BM25" s="4"/>
      <c r="BN25" s="52"/>
      <c r="BO25" s="52"/>
      <c r="BP25" s="4"/>
      <c r="BQ25" s="4"/>
      <c r="BR25" s="4"/>
    </row>
    <row r="26" spans="1:70" ht="26" customHeight="1">
      <c r="A26" s="20" t="s">
        <v>96</v>
      </c>
      <c r="B26" s="47" t="s">
        <v>97</v>
      </c>
      <c r="C26" s="20" t="s">
        <v>43</v>
      </c>
      <c r="D26" s="20" t="s">
        <v>98</v>
      </c>
      <c r="E26" s="22">
        <v>46319</v>
      </c>
      <c r="F26" s="20" t="str">
        <f>IF(G26=1,"Đã hoàn thành",IF(G26=0,"Chưa thực hiện","Đang thực hiện"))</f>
        <v>Chưa thực hiện</v>
      </c>
      <c r="G26" s="23">
        <f>AVERAGE(G27)</f>
        <v>0</v>
      </c>
      <c r="H26" s="21"/>
      <c r="I26" s="21"/>
      <c r="J26" s="54"/>
      <c r="K26" s="54"/>
      <c r="L26" s="21"/>
      <c r="M26" s="21"/>
      <c r="N26" s="21"/>
      <c r="O26" s="21"/>
      <c r="P26" s="21"/>
      <c r="Q26" s="54"/>
      <c r="R26" s="54"/>
      <c r="S26" s="21"/>
      <c r="T26" s="21"/>
      <c r="U26" s="21"/>
      <c r="V26" s="21"/>
      <c r="W26" s="21"/>
      <c r="X26" s="54"/>
      <c r="Y26" s="54"/>
      <c r="Z26" s="21"/>
      <c r="AA26" s="21"/>
      <c r="AB26" s="21"/>
      <c r="AC26" s="21"/>
      <c r="AD26" s="21"/>
      <c r="AE26" s="54"/>
      <c r="AF26" s="54"/>
      <c r="AG26" s="21"/>
      <c r="AH26" s="21"/>
      <c r="AI26" s="21"/>
      <c r="AJ26" s="24"/>
      <c r="AK26" s="24"/>
      <c r="AL26" s="54"/>
      <c r="AM26" s="54"/>
      <c r="AN26" s="24"/>
      <c r="AO26" s="24"/>
      <c r="AP26" s="24"/>
      <c r="AQ26" s="24"/>
      <c r="AR26" s="24"/>
      <c r="AS26" s="54"/>
      <c r="AT26" s="54"/>
      <c r="AU26" s="24"/>
      <c r="AV26" s="24"/>
      <c r="AW26" s="24"/>
      <c r="AX26" s="24"/>
      <c r="AY26" s="24"/>
      <c r="AZ26" s="54"/>
      <c r="BA26" s="54"/>
      <c r="BB26" s="21"/>
      <c r="BC26" s="21"/>
      <c r="BD26" s="21"/>
      <c r="BE26" s="21"/>
      <c r="BF26" s="21"/>
      <c r="BG26" s="54"/>
      <c r="BH26" s="54"/>
      <c r="BI26" s="21"/>
      <c r="BJ26" s="21"/>
      <c r="BK26" s="21"/>
      <c r="BL26" s="21"/>
      <c r="BM26" s="21"/>
      <c r="BN26" s="54"/>
      <c r="BO26" s="54"/>
      <c r="BP26" s="21"/>
      <c r="BQ26" s="21"/>
      <c r="BR26" s="21"/>
    </row>
    <row r="27" spans="1:70" ht="26" customHeight="1">
      <c r="A27" s="25" t="s">
        <v>99</v>
      </c>
      <c r="B27" s="44" t="s">
        <v>100</v>
      </c>
      <c r="C27" s="25" t="s">
        <v>43</v>
      </c>
      <c r="D27" s="25" t="s">
        <v>98</v>
      </c>
      <c r="E27" s="27">
        <v>46319</v>
      </c>
      <c r="F27" s="25" t="str">
        <f>IF(G27=1,"Đã hoàn thành",IF(G27=0,"Chưa thực hiện","Đang thực hiện"))</f>
        <v>Chưa thực hiện</v>
      </c>
      <c r="G27" s="28">
        <f>AVERAGE(G28,G29,G30,G31,G32,G33,G34,G35)</f>
        <v>0</v>
      </c>
      <c r="H27" s="26"/>
      <c r="I27" s="26"/>
      <c r="J27" s="55"/>
      <c r="K27" s="55"/>
      <c r="L27" s="26"/>
      <c r="M27" s="26"/>
      <c r="N27" s="26"/>
      <c r="O27" s="26"/>
      <c r="P27" s="26"/>
      <c r="Q27" s="55"/>
      <c r="R27" s="55"/>
      <c r="S27" s="26"/>
      <c r="T27" s="26"/>
      <c r="U27" s="26"/>
      <c r="V27" s="26"/>
      <c r="W27" s="26"/>
      <c r="X27" s="55"/>
      <c r="Y27" s="55"/>
      <c r="Z27" s="26"/>
      <c r="AA27" s="26"/>
      <c r="AB27" s="26"/>
      <c r="AC27" s="26"/>
      <c r="AD27" s="26"/>
      <c r="AE27" s="55"/>
      <c r="AF27" s="55"/>
      <c r="AG27" s="26"/>
      <c r="AH27" s="26"/>
      <c r="AI27" s="26"/>
      <c r="AJ27" s="29"/>
      <c r="AK27" s="29"/>
      <c r="AL27" s="55"/>
      <c r="AM27" s="55"/>
      <c r="AN27" s="29"/>
      <c r="AO27" s="29"/>
      <c r="AP27" s="29"/>
      <c r="AQ27" s="29"/>
      <c r="AR27" s="29"/>
      <c r="AS27" s="55"/>
      <c r="AT27" s="55"/>
      <c r="AU27" s="29"/>
      <c r="AV27" s="29"/>
      <c r="AW27" s="29"/>
      <c r="AX27" s="29"/>
      <c r="AY27" s="29"/>
      <c r="AZ27" s="55"/>
      <c r="BA27" s="55"/>
      <c r="BB27" s="26"/>
      <c r="BC27" s="26"/>
      <c r="BD27" s="26"/>
      <c r="BE27" s="26"/>
      <c r="BF27" s="26"/>
      <c r="BG27" s="55"/>
      <c r="BH27" s="55"/>
      <c r="BI27" s="26"/>
      <c r="BJ27" s="26"/>
      <c r="BK27" s="26"/>
      <c r="BL27" s="26"/>
      <c r="BM27" s="26"/>
      <c r="BN27" s="55"/>
      <c r="BO27" s="55"/>
      <c r="BP27" s="26"/>
      <c r="BQ27" s="26"/>
      <c r="BR27" s="26"/>
    </row>
    <row r="28" spans="1:70" ht="26" customHeight="1">
      <c r="A28" s="5" t="s">
        <v>101</v>
      </c>
      <c r="B28" s="42" t="s">
        <v>102</v>
      </c>
      <c r="C28" s="5" t="s">
        <v>43</v>
      </c>
      <c r="D28" s="5" t="s">
        <v>58</v>
      </c>
      <c r="E28" s="6">
        <v>46305</v>
      </c>
      <c r="F28" s="19" t="s">
        <v>5</v>
      </c>
      <c r="G28" s="18">
        <v>0</v>
      </c>
      <c r="H28" s="4"/>
      <c r="I28" s="4"/>
      <c r="J28" s="52"/>
      <c r="K28" s="52"/>
      <c r="L28" s="4"/>
      <c r="M28" s="4"/>
      <c r="N28" s="4"/>
      <c r="O28" s="4"/>
      <c r="P28" s="4"/>
      <c r="Q28" s="52"/>
      <c r="R28" s="52"/>
      <c r="S28" s="4"/>
      <c r="T28" s="4"/>
      <c r="U28" s="4"/>
      <c r="V28" s="4"/>
      <c r="W28" s="4"/>
      <c r="X28" s="52"/>
      <c r="Y28" s="52"/>
      <c r="Z28" s="4"/>
      <c r="AA28" s="4"/>
      <c r="AB28" s="4"/>
      <c r="AC28" s="4"/>
      <c r="AD28" s="4"/>
      <c r="AE28" s="52"/>
      <c r="AF28" s="52"/>
      <c r="AG28" s="4"/>
      <c r="AH28" s="4"/>
      <c r="AI28" s="4"/>
      <c r="AJ28" s="30"/>
      <c r="AK28" s="30"/>
      <c r="AL28" s="58"/>
      <c r="AM28" s="52"/>
      <c r="AN28" s="4"/>
      <c r="AO28" s="4"/>
      <c r="AP28" s="4"/>
      <c r="AQ28" s="4"/>
      <c r="AR28" s="4"/>
      <c r="AS28" s="52"/>
      <c r="AT28" s="52"/>
      <c r="AU28" s="4"/>
      <c r="AV28" s="4"/>
      <c r="AW28" s="4"/>
      <c r="AX28" s="4"/>
      <c r="AY28" s="4"/>
      <c r="AZ28" s="52"/>
      <c r="BA28" s="52"/>
      <c r="BB28" s="4"/>
      <c r="BC28" s="4"/>
      <c r="BD28" s="4"/>
      <c r="BE28" s="4"/>
      <c r="BF28" s="4"/>
      <c r="BG28" s="52"/>
      <c r="BH28" s="52"/>
      <c r="BI28" s="4"/>
      <c r="BJ28" s="4"/>
      <c r="BK28" s="4"/>
      <c r="BL28" s="4"/>
      <c r="BM28" s="4"/>
      <c r="BN28" s="52"/>
      <c r="BO28" s="52"/>
      <c r="BP28" s="4"/>
      <c r="BQ28" s="4"/>
      <c r="BR28" s="4"/>
    </row>
    <row r="29" spans="1:70" ht="26" customHeight="1">
      <c r="A29" s="5" t="s">
        <v>103</v>
      </c>
      <c r="B29" s="42" t="s">
        <v>104</v>
      </c>
      <c r="C29" s="5" t="s">
        <v>43</v>
      </c>
      <c r="D29" s="5" t="s">
        <v>61</v>
      </c>
      <c r="E29" s="6">
        <v>46309</v>
      </c>
      <c r="F29" s="19" t="s">
        <v>5</v>
      </c>
      <c r="G29" s="18">
        <v>0</v>
      </c>
      <c r="H29" s="4"/>
      <c r="I29" s="4"/>
      <c r="J29" s="52"/>
      <c r="K29" s="52"/>
      <c r="L29" s="4"/>
      <c r="M29" s="4"/>
      <c r="N29" s="4"/>
      <c r="O29" s="4"/>
      <c r="P29" s="4"/>
      <c r="Q29" s="52"/>
      <c r="R29" s="52"/>
      <c r="S29" s="4"/>
      <c r="T29" s="4"/>
      <c r="U29" s="4"/>
      <c r="V29" s="4"/>
      <c r="W29" s="4"/>
      <c r="X29" s="52"/>
      <c r="Y29" s="52"/>
      <c r="Z29" s="4"/>
      <c r="AA29" s="4"/>
      <c r="AB29" s="4"/>
      <c r="AC29" s="4"/>
      <c r="AD29" s="4"/>
      <c r="AE29" s="52"/>
      <c r="AF29" s="52"/>
      <c r="AG29" s="4"/>
      <c r="AH29" s="4"/>
      <c r="AI29" s="4"/>
      <c r="AJ29" s="4"/>
      <c r="AK29" s="4"/>
      <c r="AL29" s="52"/>
      <c r="AM29" s="58"/>
      <c r="AN29" s="30"/>
      <c r="AO29" s="30"/>
      <c r="AP29" s="30"/>
      <c r="AQ29" s="4"/>
      <c r="AR29" s="4"/>
      <c r="AS29" s="52"/>
      <c r="AT29" s="52"/>
      <c r="AU29" s="4"/>
      <c r="AV29" s="4"/>
      <c r="AW29" s="4"/>
      <c r="AX29" s="4"/>
      <c r="AY29" s="4"/>
      <c r="AZ29" s="52"/>
      <c r="BA29" s="52"/>
      <c r="BB29" s="4"/>
      <c r="BC29" s="4"/>
      <c r="BD29" s="4"/>
      <c r="BE29" s="4"/>
      <c r="BF29" s="4"/>
      <c r="BG29" s="52"/>
      <c r="BH29" s="52"/>
      <c r="BI29" s="4"/>
      <c r="BJ29" s="4"/>
      <c r="BK29" s="4"/>
      <c r="BL29" s="4"/>
      <c r="BM29" s="4"/>
      <c r="BN29" s="52"/>
      <c r="BO29" s="52"/>
      <c r="BP29" s="4"/>
      <c r="BQ29" s="4"/>
      <c r="BR29" s="4"/>
    </row>
    <row r="30" spans="1:70" ht="26" customHeight="1">
      <c r="A30" s="5" t="s">
        <v>105</v>
      </c>
      <c r="B30" s="42" t="s">
        <v>106</v>
      </c>
      <c r="C30" s="5" t="s">
        <v>43</v>
      </c>
      <c r="D30" s="5" t="s">
        <v>53</v>
      </c>
      <c r="E30" s="6">
        <v>46311</v>
      </c>
      <c r="F30" s="19" t="s">
        <v>5</v>
      </c>
      <c r="G30" s="18">
        <v>0</v>
      </c>
      <c r="H30" s="4"/>
      <c r="I30" s="4"/>
      <c r="J30" s="52"/>
      <c r="K30" s="52"/>
      <c r="L30" s="4"/>
      <c r="M30" s="4"/>
      <c r="N30" s="4"/>
      <c r="O30" s="4"/>
      <c r="P30" s="4"/>
      <c r="Q30" s="52"/>
      <c r="R30" s="52"/>
      <c r="S30" s="4"/>
      <c r="T30" s="4"/>
      <c r="U30" s="4"/>
      <c r="V30" s="4"/>
      <c r="W30" s="4"/>
      <c r="X30" s="52"/>
      <c r="Y30" s="52"/>
      <c r="Z30" s="4"/>
      <c r="AA30" s="4"/>
      <c r="AB30" s="4"/>
      <c r="AC30" s="4"/>
      <c r="AD30" s="4"/>
      <c r="AE30" s="52"/>
      <c r="AF30" s="52"/>
      <c r="AG30" s="4"/>
      <c r="AH30" s="4"/>
      <c r="AI30" s="4"/>
      <c r="AJ30" s="4"/>
      <c r="AK30" s="4"/>
      <c r="AL30" s="52"/>
      <c r="AM30" s="52"/>
      <c r="AN30" s="4"/>
      <c r="AO30" s="4"/>
      <c r="AP30" s="4"/>
      <c r="AQ30" s="30"/>
      <c r="AR30" s="30"/>
      <c r="AS30" s="52"/>
      <c r="AT30" s="52"/>
      <c r="AU30" s="4"/>
      <c r="AV30" s="4"/>
      <c r="AW30" s="4"/>
      <c r="AX30" s="4"/>
      <c r="AY30" s="4"/>
      <c r="AZ30" s="52"/>
      <c r="BA30" s="52"/>
      <c r="BB30" s="4"/>
      <c r="BC30" s="4"/>
      <c r="BD30" s="4"/>
      <c r="BE30" s="4"/>
      <c r="BF30" s="4"/>
      <c r="BG30" s="52"/>
      <c r="BH30" s="52"/>
      <c r="BI30" s="4"/>
      <c r="BJ30" s="4"/>
      <c r="BK30" s="4"/>
      <c r="BL30" s="4"/>
      <c r="BM30" s="4"/>
      <c r="BN30" s="52"/>
      <c r="BO30" s="52"/>
      <c r="BP30" s="4"/>
      <c r="BQ30" s="4"/>
      <c r="BR30" s="4"/>
    </row>
    <row r="31" spans="1:70" ht="26" customHeight="1">
      <c r="A31" s="5" t="s">
        <v>107</v>
      </c>
      <c r="B31" s="42" t="s">
        <v>108</v>
      </c>
      <c r="C31" s="5" t="s">
        <v>43</v>
      </c>
      <c r="D31" s="5" t="s">
        <v>53</v>
      </c>
      <c r="E31" s="6">
        <v>46313</v>
      </c>
      <c r="F31" s="19" t="s">
        <v>5</v>
      </c>
      <c r="G31" s="18">
        <v>0</v>
      </c>
      <c r="H31" s="4"/>
      <c r="I31" s="4"/>
      <c r="J31" s="52"/>
      <c r="K31" s="52"/>
      <c r="L31" s="4"/>
      <c r="M31" s="4"/>
      <c r="N31" s="4"/>
      <c r="O31" s="4"/>
      <c r="P31" s="4"/>
      <c r="Q31" s="52"/>
      <c r="R31" s="52"/>
      <c r="S31" s="4"/>
      <c r="T31" s="4"/>
      <c r="U31" s="4"/>
      <c r="V31" s="4"/>
      <c r="W31" s="4"/>
      <c r="X31" s="52"/>
      <c r="Y31" s="52"/>
      <c r="Z31" s="4"/>
      <c r="AA31" s="4"/>
      <c r="AB31" s="4"/>
      <c r="AC31" s="4"/>
      <c r="AD31" s="4"/>
      <c r="AE31" s="52"/>
      <c r="AF31" s="52"/>
      <c r="AG31" s="4"/>
      <c r="AH31" s="4"/>
      <c r="AI31" s="4"/>
      <c r="AJ31" s="4"/>
      <c r="AK31" s="4"/>
      <c r="AL31" s="52"/>
      <c r="AM31" s="52"/>
      <c r="AN31" s="4"/>
      <c r="AO31" s="4"/>
      <c r="AP31" s="4"/>
      <c r="AQ31" s="4"/>
      <c r="AR31" s="4"/>
      <c r="AS31" s="58"/>
      <c r="AT31" s="58"/>
      <c r="AU31" s="4"/>
      <c r="AV31" s="4"/>
      <c r="AW31" s="4"/>
      <c r="AX31" s="4"/>
      <c r="AY31" s="4"/>
      <c r="AZ31" s="52"/>
      <c r="BA31" s="52"/>
      <c r="BB31" s="4"/>
      <c r="BC31" s="4"/>
      <c r="BD31" s="4"/>
      <c r="BE31" s="4"/>
      <c r="BF31" s="4"/>
      <c r="BG31" s="52"/>
      <c r="BH31" s="52"/>
      <c r="BI31" s="4"/>
      <c r="BJ31" s="4"/>
      <c r="BK31" s="4"/>
      <c r="BL31" s="4"/>
      <c r="BM31" s="4"/>
      <c r="BN31" s="52"/>
      <c r="BO31" s="52"/>
      <c r="BP31" s="4"/>
      <c r="BQ31" s="4"/>
      <c r="BR31" s="4"/>
    </row>
    <row r="32" spans="1:70" ht="26" customHeight="1">
      <c r="A32" s="5" t="s">
        <v>109</v>
      </c>
      <c r="B32" s="42" t="s">
        <v>110</v>
      </c>
      <c r="C32" s="5" t="s">
        <v>43</v>
      </c>
      <c r="D32" s="5" t="s">
        <v>50</v>
      </c>
      <c r="E32" s="6">
        <v>46314</v>
      </c>
      <c r="F32" s="19" t="s">
        <v>5</v>
      </c>
      <c r="G32" s="18">
        <v>0</v>
      </c>
      <c r="H32" s="4"/>
      <c r="I32" s="4"/>
      <c r="J32" s="52"/>
      <c r="K32" s="52"/>
      <c r="L32" s="4"/>
      <c r="M32" s="4"/>
      <c r="N32" s="4"/>
      <c r="O32" s="4"/>
      <c r="P32" s="4"/>
      <c r="Q32" s="52"/>
      <c r="R32" s="52"/>
      <c r="S32" s="4"/>
      <c r="T32" s="4"/>
      <c r="U32" s="4"/>
      <c r="V32" s="4"/>
      <c r="W32" s="4"/>
      <c r="X32" s="52"/>
      <c r="Y32" s="52"/>
      <c r="Z32" s="4"/>
      <c r="AA32" s="4"/>
      <c r="AB32" s="4"/>
      <c r="AC32" s="4"/>
      <c r="AD32" s="4"/>
      <c r="AE32" s="52"/>
      <c r="AF32" s="52"/>
      <c r="AG32" s="4"/>
      <c r="AH32" s="4"/>
      <c r="AI32" s="4"/>
      <c r="AJ32" s="4"/>
      <c r="AK32" s="4"/>
      <c r="AL32" s="52"/>
      <c r="AM32" s="52"/>
      <c r="AN32" s="4"/>
      <c r="AO32" s="4"/>
      <c r="AP32" s="4"/>
      <c r="AQ32" s="4"/>
      <c r="AR32" s="4"/>
      <c r="AS32" s="52"/>
      <c r="AT32" s="52"/>
      <c r="AU32" s="30"/>
      <c r="AV32" s="4"/>
      <c r="AW32" s="4"/>
      <c r="AX32" s="4"/>
      <c r="AY32" s="4"/>
      <c r="AZ32" s="52"/>
      <c r="BA32" s="52"/>
      <c r="BB32" s="4"/>
      <c r="BC32" s="4"/>
      <c r="BD32" s="4"/>
      <c r="BE32" s="4"/>
      <c r="BF32" s="4"/>
      <c r="BG32" s="52"/>
      <c r="BH32" s="52"/>
      <c r="BI32" s="4"/>
      <c r="BJ32" s="4"/>
      <c r="BK32" s="4"/>
      <c r="BL32" s="4"/>
      <c r="BM32" s="4"/>
      <c r="BN32" s="52"/>
      <c r="BO32" s="52"/>
      <c r="BP32" s="4"/>
      <c r="BQ32" s="4"/>
      <c r="BR32" s="4"/>
    </row>
    <row r="33" spans="1:70" ht="26" customHeight="1">
      <c r="A33" s="5" t="s">
        <v>111</v>
      </c>
      <c r="B33" s="42" t="s">
        <v>112</v>
      </c>
      <c r="C33" s="5" t="s">
        <v>43</v>
      </c>
      <c r="D33" s="5" t="s">
        <v>53</v>
      </c>
      <c r="E33" s="6">
        <v>46316</v>
      </c>
      <c r="F33" s="19" t="s">
        <v>5</v>
      </c>
      <c r="G33" s="18">
        <v>0</v>
      </c>
      <c r="H33" s="4"/>
      <c r="I33" s="4"/>
      <c r="J33" s="52"/>
      <c r="K33" s="52"/>
      <c r="L33" s="4"/>
      <c r="M33" s="4"/>
      <c r="N33" s="4"/>
      <c r="O33" s="4"/>
      <c r="P33" s="4"/>
      <c r="Q33" s="52"/>
      <c r="R33" s="52"/>
      <c r="S33" s="4"/>
      <c r="T33" s="4"/>
      <c r="U33" s="4"/>
      <c r="V33" s="4"/>
      <c r="W33" s="4"/>
      <c r="X33" s="52"/>
      <c r="Y33" s="52"/>
      <c r="Z33" s="4"/>
      <c r="AA33" s="4"/>
      <c r="AB33" s="4"/>
      <c r="AC33" s="4"/>
      <c r="AD33" s="4"/>
      <c r="AE33" s="52"/>
      <c r="AF33" s="52"/>
      <c r="AG33" s="4"/>
      <c r="AH33" s="4"/>
      <c r="AI33" s="4"/>
      <c r="AJ33" s="4"/>
      <c r="AK33" s="4"/>
      <c r="AL33" s="52"/>
      <c r="AM33" s="52"/>
      <c r="AN33" s="4"/>
      <c r="AO33" s="4"/>
      <c r="AP33" s="4"/>
      <c r="AQ33" s="4"/>
      <c r="AR33" s="4"/>
      <c r="AS33" s="52"/>
      <c r="AT33" s="52"/>
      <c r="AU33" s="4"/>
      <c r="AV33" s="30"/>
      <c r="AW33" s="30"/>
      <c r="AX33" s="4"/>
      <c r="AY33" s="4"/>
      <c r="AZ33" s="52"/>
      <c r="BA33" s="52"/>
      <c r="BB33" s="4"/>
      <c r="BC33" s="4"/>
      <c r="BD33" s="4"/>
      <c r="BE33" s="4"/>
      <c r="BF33" s="4"/>
      <c r="BG33" s="52"/>
      <c r="BH33" s="52"/>
      <c r="BI33" s="4"/>
      <c r="BJ33" s="4"/>
      <c r="BK33" s="4"/>
      <c r="BL33" s="4"/>
      <c r="BM33" s="4"/>
      <c r="BN33" s="52"/>
      <c r="BO33" s="52"/>
      <c r="BP33" s="4"/>
      <c r="BQ33" s="4"/>
      <c r="BR33" s="4"/>
    </row>
    <row r="34" spans="1:70" ht="26" customHeight="1">
      <c r="A34" s="5" t="s">
        <v>113</v>
      </c>
      <c r="B34" s="42" t="s">
        <v>114</v>
      </c>
      <c r="C34" s="5" t="s">
        <v>43</v>
      </c>
      <c r="D34" s="5" t="s">
        <v>53</v>
      </c>
      <c r="E34" s="6">
        <v>46318</v>
      </c>
      <c r="F34" s="19" t="s">
        <v>5</v>
      </c>
      <c r="G34" s="18">
        <v>0</v>
      </c>
      <c r="H34" s="4"/>
      <c r="I34" s="4"/>
      <c r="J34" s="52"/>
      <c r="K34" s="52"/>
      <c r="L34" s="4"/>
      <c r="M34" s="4"/>
      <c r="N34" s="4"/>
      <c r="O34" s="4"/>
      <c r="P34" s="4"/>
      <c r="Q34" s="52"/>
      <c r="R34" s="52"/>
      <c r="S34" s="4"/>
      <c r="T34" s="4"/>
      <c r="U34" s="4"/>
      <c r="V34" s="4"/>
      <c r="W34" s="4"/>
      <c r="X34" s="52"/>
      <c r="Y34" s="52"/>
      <c r="Z34" s="4"/>
      <c r="AA34" s="4"/>
      <c r="AB34" s="4"/>
      <c r="AC34" s="4"/>
      <c r="AD34" s="4"/>
      <c r="AE34" s="52"/>
      <c r="AF34" s="52"/>
      <c r="AG34" s="4"/>
      <c r="AH34" s="4"/>
      <c r="AI34" s="4"/>
      <c r="AJ34" s="4"/>
      <c r="AK34" s="4"/>
      <c r="AL34" s="52"/>
      <c r="AM34" s="52"/>
      <c r="AN34" s="4"/>
      <c r="AO34" s="4"/>
      <c r="AP34" s="4"/>
      <c r="AQ34" s="4"/>
      <c r="AR34" s="4"/>
      <c r="AS34" s="52"/>
      <c r="AT34" s="52"/>
      <c r="AU34" s="4"/>
      <c r="AV34" s="4"/>
      <c r="AW34" s="4"/>
      <c r="AX34" s="30"/>
      <c r="AY34" s="30"/>
      <c r="AZ34" s="52"/>
      <c r="BA34" s="52"/>
      <c r="BB34" s="4"/>
      <c r="BC34" s="4"/>
      <c r="BD34" s="4"/>
      <c r="BE34" s="4"/>
      <c r="BF34" s="4"/>
      <c r="BG34" s="52"/>
      <c r="BH34" s="52"/>
      <c r="BI34" s="4"/>
      <c r="BJ34" s="4"/>
      <c r="BK34" s="4"/>
      <c r="BL34" s="4"/>
      <c r="BM34" s="4"/>
      <c r="BN34" s="52"/>
      <c r="BO34" s="52"/>
      <c r="BP34" s="4"/>
      <c r="BQ34" s="4"/>
      <c r="BR34" s="4"/>
    </row>
    <row r="35" spans="1:70" ht="26" customHeight="1">
      <c r="A35" s="5" t="s">
        <v>115</v>
      </c>
      <c r="B35" s="42" t="s">
        <v>116</v>
      </c>
      <c r="C35" s="5" t="s">
        <v>43</v>
      </c>
      <c r="D35" s="5" t="s">
        <v>50</v>
      </c>
      <c r="E35" s="6">
        <v>46319</v>
      </c>
      <c r="F35" s="19" t="s">
        <v>5</v>
      </c>
      <c r="G35" s="18">
        <v>0</v>
      </c>
      <c r="H35" s="4"/>
      <c r="I35" s="4"/>
      <c r="J35" s="52"/>
      <c r="K35" s="52"/>
      <c r="L35" s="4"/>
      <c r="M35" s="4"/>
      <c r="N35" s="4"/>
      <c r="O35" s="4"/>
      <c r="P35" s="4"/>
      <c r="Q35" s="52"/>
      <c r="R35" s="52"/>
      <c r="S35" s="4"/>
      <c r="T35" s="4"/>
      <c r="U35" s="4"/>
      <c r="V35" s="4"/>
      <c r="W35" s="4"/>
      <c r="X35" s="52"/>
      <c r="Y35" s="52"/>
      <c r="Z35" s="4"/>
      <c r="AA35" s="4"/>
      <c r="AB35" s="4"/>
      <c r="AC35" s="4"/>
      <c r="AD35" s="4"/>
      <c r="AE35" s="52"/>
      <c r="AF35" s="52"/>
      <c r="AG35" s="4"/>
      <c r="AH35" s="4"/>
      <c r="AI35" s="4"/>
      <c r="AJ35" s="4"/>
      <c r="AK35" s="4"/>
      <c r="AL35" s="52"/>
      <c r="AM35" s="52"/>
      <c r="AN35" s="4"/>
      <c r="AO35" s="4"/>
      <c r="AP35" s="4"/>
      <c r="AQ35" s="4"/>
      <c r="AR35" s="4"/>
      <c r="AS35" s="52"/>
      <c r="AT35" s="52"/>
      <c r="AU35" s="4"/>
      <c r="AV35" s="4"/>
      <c r="AW35" s="4"/>
      <c r="AX35" s="4"/>
      <c r="AY35" s="4"/>
      <c r="AZ35" s="58"/>
      <c r="BA35" s="52"/>
      <c r="BB35" s="4"/>
      <c r="BC35" s="4"/>
      <c r="BD35" s="4"/>
      <c r="BE35" s="4"/>
      <c r="BF35" s="4"/>
      <c r="BG35" s="52"/>
      <c r="BH35" s="52"/>
      <c r="BI35" s="4"/>
      <c r="BJ35" s="4"/>
      <c r="BK35" s="4"/>
      <c r="BL35" s="4"/>
      <c r="BM35" s="4"/>
      <c r="BN35" s="52"/>
      <c r="BO35" s="52"/>
      <c r="BP35" s="4"/>
      <c r="BQ35" s="4"/>
      <c r="BR35" s="4"/>
    </row>
    <row r="36" spans="1:70" ht="26" customHeight="1">
      <c r="A36" s="31" t="s">
        <v>117</v>
      </c>
      <c r="B36" s="48" t="s">
        <v>118</v>
      </c>
      <c r="C36" s="31" t="s">
        <v>43</v>
      </c>
      <c r="D36" s="31" t="s">
        <v>98</v>
      </c>
      <c r="E36" s="33">
        <v>46337</v>
      </c>
      <c r="F36" s="31" t="str">
        <f>IF(G36=1,"Đã hoàn thành",IF(G36=0,"Chưa thực hiện","Đang thực hiện"))</f>
        <v>Chưa thực hiện</v>
      </c>
      <c r="G36" s="34">
        <f>AVERAGE(G37,G41,G45,G49,G55)</f>
        <v>0</v>
      </c>
      <c r="H36" s="32"/>
      <c r="I36" s="32"/>
      <c r="J36" s="56"/>
      <c r="K36" s="56"/>
      <c r="L36" s="32"/>
      <c r="M36" s="32"/>
      <c r="N36" s="32"/>
      <c r="O36" s="32"/>
      <c r="P36" s="32"/>
      <c r="Q36" s="56"/>
      <c r="R36" s="56"/>
      <c r="S36" s="32"/>
      <c r="T36" s="32"/>
      <c r="U36" s="32"/>
      <c r="V36" s="32"/>
      <c r="W36" s="32"/>
      <c r="X36" s="56"/>
      <c r="Y36" s="56"/>
      <c r="Z36" s="32"/>
      <c r="AA36" s="32"/>
      <c r="AB36" s="32"/>
      <c r="AC36" s="32"/>
      <c r="AD36" s="32"/>
      <c r="AE36" s="56"/>
      <c r="AF36" s="56"/>
      <c r="AG36" s="32"/>
      <c r="AH36" s="32"/>
      <c r="AI36" s="32"/>
      <c r="AJ36" s="32"/>
      <c r="AK36" s="32"/>
      <c r="AL36" s="56"/>
      <c r="AM36" s="56"/>
      <c r="AN36" s="32"/>
      <c r="AO36" s="32"/>
      <c r="AP36" s="32"/>
      <c r="AQ36" s="32"/>
      <c r="AR36" s="32"/>
      <c r="AS36" s="56"/>
      <c r="AT36" s="56"/>
      <c r="AU36" s="32"/>
      <c r="AV36" s="32"/>
      <c r="AW36" s="32"/>
      <c r="AX36" s="32"/>
      <c r="AY36" s="32"/>
      <c r="AZ36" s="56"/>
      <c r="BA36" s="56"/>
      <c r="BB36" s="35"/>
      <c r="BC36" s="35"/>
      <c r="BD36" s="35"/>
      <c r="BE36" s="35"/>
      <c r="BF36" s="35"/>
      <c r="BG36" s="56"/>
      <c r="BH36" s="56"/>
      <c r="BI36" s="35"/>
      <c r="BJ36" s="35"/>
      <c r="BK36" s="35"/>
      <c r="BL36" s="35"/>
      <c r="BM36" s="35"/>
      <c r="BN36" s="56"/>
      <c r="BO36" s="56"/>
      <c r="BP36" s="35"/>
      <c r="BQ36" s="35"/>
      <c r="BR36" s="35"/>
    </row>
    <row r="37" spans="1:70" ht="26" customHeight="1">
      <c r="A37" s="36" t="s">
        <v>119</v>
      </c>
      <c r="B37" s="45" t="s">
        <v>120</v>
      </c>
      <c r="C37" s="36" t="s">
        <v>43</v>
      </c>
      <c r="D37" s="36" t="s">
        <v>121</v>
      </c>
      <c r="E37" s="38">
        <v>46324</v>
      </c>
      <c r="F37" s="36" t="str">
        <f>IF(G37=1,"Đã hoàn thành",IF(G37=0,"Chưa thực hiện","Đang thực hiện"))</f>
        <v>Chưa thực hiện</v>
      </c>
      <c r="G37" s="39">
        <f>AVERAGE(G38,G39,G40)</f>
        <v>0</v>
      </c>
      <c r="H37" s="37"/>
      <c r="I37" s="37"/>
      <c r="J37" s="57"/>
      <c r="K37" s="57"/>
      <c r="L37" s="37"/>
      <c r="M37" s="37"/>
      <c r="N37" s="37"/>
      <c r="O37" s="37"/>
      <c r="P37" s="37"/>
      <c r="Q37" s="57"/>
      <c r="R37" s="57"/>
      <c r="S37" s="37"/>
      <c r="T37" s="37"/>
      <c r="U37" s="37"/>
      <c r="V37" s="37"/>
      <c r="W37" s="37"/>
      <c r="X37" s="57"/>
      <c r="Y37" s="57"/>
      <c r="Z37" s="37"/>
      <c r="AA37" s="37"/>
      <c r="AB37" s="37"/>
      <c r="AC37" s="37"/>
      <c r="AD37" s="37"/>
      <c r="AE37" s="57"/>
      <c r="AF37" s="57"/>
      <c r="AG37" s="37"/>
      <c r="AH37" s="37"/>
      <c r="AI37" s="37"/>
      <c r="AJ37" s="37"/>
      <c r="AK37" s="37"/>
      <c r="AL37" s="57"/>
      <c r="AM37" s="57"/>
      <c r="AN37" s="37"/>
      <c r="AO37" s="37"/>
      <c r="AP37" s="37"/>
      <c r="AQ37" s="37"/>
      <c r="AR37" s="37"/>
      <c r="AS37" s="57"/>
      <c r="AT37" s="57"/>
      <c r="AU37" s="37"/>
      <c r="AV37" s="37"/>
      <c r="AW37" s="37"/>
      <c r="AX37" s="37"/>
      <c r="AY37" s="37"/>
      <c r="AZ37" s="57"/>
      <c r="BA37" s="57"/>
      <c r="BB37" s="40"/>
      <c r="BC37" s="40"/>
      <c r="BD37" s="40"/>
      <c r="BE37" s="40"/>
      <c r="BF37" s="37"/>
      <c r="BG37" s="57"/>
      <c r="BH37" s="57"/>
      <c r="BI37" s="37"/>
      <c r="BJ37" s="37"/>
      <c r="BK37" s="37"/>
      <c r="BL37" s="37"/>
      <c r="BM37" s="37"/>
      <c r="BN37" s="57"/>
      <c r="BO37" s="57"/>
      <c r="BP37" s="37"/>
      <c r="BQ37" s="37"/>
      <c r="BR37" s="37"/>
    </row>
    <row r="38" spans="1:70" ht="26" customHeight="1">
      <c r="A38" s="5" t="s">
        <v>122</v>
      </c>
      <c r="B38" s="42" t="s">
        <v>123</v>
      </c>
      <c r="C38" s="5" t="s">
        <v>43</v>
      </c>
      <c r="D38" s="5" t="s">
        <v>53</v>
      </c>
      <c r="E38" s="6">
        <v>46321</v>
      </c>
      <c r="F38" s="19" t="s">
        <v>5</v>
      </c>
      <c r="G38" s="18">
        <v>0</v>
      </c>
      <c r="H38" s="4"/>
      <c r="I38" s="4"/>
      <c r="J38" s="52"/>
      <c r="K38" s="52"/>
      <c r="L38" s="4"/>
      <c r="M38" s="4"/>
      <c r="N38" s="4"/>
      <c r="O38" s="4"/>
      <c r="P38" s="4"/>
      <c r="Q38" s="52"/>
      <c r="R38" s="52"/>
      <c r="S38" s="4"/>
      <c r="T38" s="4"/>
      <c r="U38" s="4"/>
      <c r="V38" s="4"/>
      <c r="W38" s="4"/>
      <c r="X38" s="52"/>
      <c r="Y38" s="52"/>
      <c r="Z38" s="4"/>
      <c r="AA38" s="4"/>
      <c r="AB38" s="4"/>
      <c r="AC38" s="4"/>
      <c r="AD38" s="4"/>
      <c r="AE38" s="52"/>
      <c r="AF38" s="52"/>
      <c r="AG38" s="4"/>
      <c r="AH38" s="4"/>
      <c r="AI38" s="4"/>
      <c r="AJ38" s="4"/>
      <c r="AK38" s="4"/>
      <c r="AL38" s="52"/>
      <c r="AM38" s="52"/>
      <c r="AN38" s="4"/>
      <c r="AO38" s="4"/>
      <c r="AP38" s="4"/>
      <c r="AQ38" s="4"/>
      <c r="AR38" s="4"/>
      <c r="AS38" s="52"/>
      <c r="AT38" s="52"/>
      <c r="AU38" s="4"/>
      <c r="AV38" s="4"/>
      <c r="AW38" s="4"/>
      <c r="AX38" s="4"/>
      <c r="AY38" s="4"/>
      <c r="AZ38" s="52"/>
      <c r="BA38" s="59"/>
      <c r="BB38" s="41"/>
      <c r="BC38" s="4"/>
      <c r="BD38" s="4"/>
      <c r="BE38" s="4"/>
      <c r="BF38" s="4"/>
      <c r="BG38" s="52"/>
      <c r="BH38" s="52"/>
      <c r="BI38" s="4"/>
      <c r="BJ38" s="4"/>
      <c r="BK38" s="4"/>
      <c r="BL38" s="4"/>
      <c r="BM38" s="4"/>
      <c r="BN38" s="52"/>
      <c r="BO38" s="52"/>
      <c r="BP38" s="4"/>
      <c r="BQ38" s="4"/>
      <c r="BR38" s="4"/>
    </row>
    <row r="39" spans="1:70" ht="26" customHeight="1">
      <c r="A39" s="5" t="s">
        <v>124</v>
      </c>
      <c r="B39" s="42" t="s">
        <v>125</v>
      </c>
      <c r="C39" s="5" t="s">
        <v>43</v>
      </c>
      <c r="D39" s="5" t="s">
        <v>53</v>
      </c>
      <c r="E39" s="6">
        <v>46323</v>
      </c>
      <c r="F39" s="19" t="s">
        <v>5</v>
      </c>
      <c r="G39" s="18">
        <v>0</v>
      </c>
      <c r="H39" s="4"/>
      <c r="I39" s="4"/>
      <c r="J39" s="52"/>
      <c r="K39" s="52"/>
      <c r="L39" s="4"/>
      <c r="M39" s="4"/>
      <c r="N39" s="4"/>
      <c r="O39" s="4"/>
      <c r="P39" s="4"/>
      <c r="Q39" s="52"/>
      <c r="R39" s="52"/>
      <c r="S39" s="4"/>
      <c r="T39" s="4"/>
      <c r="U39" s="4"/>
      <c r="V39" s="4"/>
      <c r="W39" s="4"/>
      <c r="X39" s="52"/>
      <c r="Y39" s="52"/>
      <c r="Z39" s="4"/>
      <c r="AA39" s="4"/>
      <c r="AB39" s="4"/>
      <c r="AC39" s="4"/>
      <c r="AD39" s="4"/>
      <c r="AE39" s="52"/>
      <c r="AF39" s="52"/>
      <c r="AG39" s="4"/>
      <c r="AH39" s="4"/>
      <c r="AI39" s="4"/>
      <c r="AJ39" s="4"/>
      <c r="AK39" s="4"/>
      <c r="AL39" s="52"/>
      <c r="AM39" s="52"/>
      <c r="AN39" s="4"/>
      <c r="AO39" s="4"/>
      <c r="AP39" s="4"/>
      <c r="AQ39" s="4"/>
      <c r="AR39" s="4"/>
      <c r="AS39" s="52"/>
      <c r="AT39" s="52"/>
      <c r="AU39" s="4"/>
      <c r="AV39" s="4"/>
      <c r="AW39" s="4"/>
      <c r="AX39" s="4"/>
      <c r="AY39" s="4"/>
      <c r="AZ39" s="52"/>
      <c r="BA39" s="52"/>
      <c r="BB39" s="4"/>
      <c r="BC39" s="41"/>
      <c r="BD39" s="41"/>
      <c r="BE39" s="4"/>
      <c r="BF39" s="4"/>
      <c r="BG39" s="52"/>
      <c r="BH39" s="52"/>
      <c r="BI39" s="4"/>
      <c r="BJ39" s="4"/>
      <c r="BK39" s="4"/>
      <c r="BL39" s="4"/>
      <c r="BM39" s="4"/>
      <c r="BN39" s="52"/>
      <c r="BO39" s="52"/>
      <c r="BP39" s="4"/>
      <c r="BQ39" s="4"/>
      <c r="BR39" s="4"/>
    </row>
    <row r="40" spans="1:70" ht="26" customHeight="1">
      <c r="A40" s="5" t="s">
        <v>126</v>
      </c>
      <c r="B40" s="42" t="s">
        <v>127</v>
      </c>
      <c r="C40" s="5" t="s">
        <v>43</v>
      </c>
      <c r="D40" s="5" t="s">
        <v>50</v>
      </c>
      <c r="E40" s="6">
        <v>46324</v>
      </c>
      <c r="F40" s="19" t="s">
        <v>5</v>
      </c>
      <c r="G40" s="18">
        <v>0</v>
      </c>
      <c r="H40" s="4"/>
      <c r="I40" s="4"/>
      <c r="J40" s="52"/>
      <c r="K40" s="52"/>
      <c r="L40" s="4"/>
      <c r="M40" s="4"/>
      <c r="N40" s="4"/>
      <c r="O40" s="4"/>
      <c r="P40" s="4"/>
      <c r="Q40" s="52"/>
      <c r="R40" s="52"/>
      <c r="S40" s="4"/>
      <c r="T40" s="4"/>
      <c r="U40" s="4"/>
      <c r="V40" s="4"/>
      <c r="W40" s="4"/>
      <c r="X40" s="52"/>
      <c r="Y40" s="52"/>
      <c r="Z40" s="4"/>
      <c r="AA40" s="4"/>
      <c r="AB40" s="4"/>
      <c r="AC40" s="4"/>
      <c r="AD40" s="4"/>
      <c r="AE40" s="52"/>
      <c r="AF40" s="52"/>
      <c r="AG40" s="4"/>
      <c r="AH40" s="4"/>
      <c r="AI40" s="4"/>
      <c r="AJ40" s="4"/>
      <c r="AK40" s="4"/>
      <c r="AL40" s="52"/>
      <c r="AM40" s="52"/>
      <c r="AN40" s="4"/>
      <c r="AO40" s="4"/>
      <c r="AP40" s="4"/>
      <c r="AQ40" s="4"/>
      <c r="AR40" s="4"/>
      <c r="AS40" s="52"/>
      <c r="AT40" s="52"/>
      <c r="AU40" s="4"/>
      <c r="AV40" s="4"/>
      <c r="AW40" s="4"/>
      <c r="AX40" s="4"/>
      <c r="AY40" s="4"/>
      <c r="AZ40" s="52"/>
      <c r="BA40" s="52"/>
      <c r="BB40" s="4"/>
      <c r="BC40" s="4"/>
      <c r="BD40" s="4"/>
      <c r="BE40" s="41"/>
      <c r="BF40" s="4"/>
      <c r="BG40" s="52"/>
      <c r="BH40" s="52"/>
      <c r="BI40" s="4"/>
      <c r="BJ40" s="4"/>
      <c r="BK40" s="4"/>
      <c r="BL40" s="4"/>
      <c r="BM40" s="4"/>
      <c r="BN40" s="52"/>
      <c r="BO40" s="52"/>
      <c r="BP40" s="4"/>
      <c r="BQ40" s="4"/>
      <c r="BR40" s="4"/>
    </row>
    <row r="41" spans="1:70" ht="26" customHeight="1">
      <c r="A41" s="36" t="s">
        <v>128</v>
      </c>
      <c r="B41" s="45" t="s">
        <v>129</v>
      </c>
      <c r="C41" s="36" t="s">
        <v>43</v>
      </c>
      <c r="D41" s="36" t="s">
        <v>121</v>
      </c>
      <c r="E41" s="38">
        <v>46329</v>
      </c>
      <c r="F41" s="36" t="str">
        <f>IF(G41=1,"Đã hoàn thành",IF(G41=0,"Chưa thực hiện","Đang thực hiện"))</f>
        <v>Chưa thực hiện</v>
      </c>
      <c r="G41" s="39">
        <f>AVERAGE(G42,G43,G44)</f>
        <v>0</v>
      </c>
      <c r="H41" s="37"/>
      <c r="I41" s="37"/>
      <c r="J41" s="57"/>
      <c r="K41" s="57"/>
      <c r="L41" s="37"/>
      <c r="M41" s="37"/>
      <c r="N41" s="37"/>
      <c r="O41" s="37"/>
      <c r="P41" s="37"/>
      <c r="Q41" s="57"/>
      <c r="R41" s="57"/>
      <c r="S41" s="37"/>
      <c r="T41" s="37"/>
      <c r="U41" s="37"/>
      <c r="V41" s="37"/>
      <c r="W41" s="37"/>
      <c r="X41" s="57"/>
      <c r="Y41" s="57"/>
      <c r="Z41" s="37"/>
      <c r="AA41" s="37"/>
      <c r="AB41" s="37"/>
      <c r="AC41" s="37"/>
      <c r="AD41" s="37"/>
      <c r="AE41" s="57"/>
      <c r="AF41" s="57"/>
      <c r="AG41" s="37"/>
      <c r="AH41" s="37"/>
      <c r="AI41" s="37"/>
      <c r="AJ41" s="37"/>
      <c r="AK41" s="37"/>
      <c r="AL41" s="57"/>
      <c r="AM41" s="57"/>
      <c r="AN41" s="37"/>
      <c r="AO41" s="37"/>
      <c r="AP41" s="37"/>
      <c r="AQ41" s="37"/>
      <c r="AR41" s="37"/>
      <c r="AS41" s="57"/>
      <c r="AT41" s="57"/>
      <c r="AU41" s="37"/>
      <c r="AV41" s="37"/>
      <c r="AW41" s="37"/>
      <c r="AX41" s="37"/>
      <c r="AY41" s="37"/>
      <c r="AZ41" s="57"/>
      <c r="BA41" s="57"/>
      <c r="BB41" s="37"/>
      <c r="BC41" s="37"/>
      <c r="BD41" s="37"/>
      <c r="BE41" s="37"/>
      <c r="BF41" s="40"/>
      <c r="BG41" s="57"/>
      <c r="BH41" s="57"/>
      <c r="BI41" s="40"/>
      <c r="BJ41" s="40"/>
      <c r="BK41" s="37"/>
      <c r="BL41" s="37"/>
      <c r="BM41" s="37"/>
      <c r="BN41" s="57"/>
      <c r="BO41" s="57"/>
      <c r="BP41" s="37"/>
      <c r="BQ41" s="37"/>
      <c r="BR41" s="37"/>
    </row>
    <row r="42" spans="1:70" ht="26" customHeight="1">
      <c r="A42" s="5" t="s">
        <v>130</v>
      </c>
      <c r="B42" s="42" t="s">
        <v>131</v>
      </c>
      <c r="C42" s="5" t="s">
        <v>43</v>
      </c>
      <c r="D42" s="5" t="s">
        <v>53</v>
      </c>
      <c r="E42" s="6">
        <v>46326</v>
      </c>
      <c r="F42" s="19" t="s">
        <v>5</v>
      </c>
      <c r="G42" s="18">
        <v>0</v>
      </c>
      <c r="H42" s="4"/>
      <c r="I42" s="4"/>
      <c r="J42" s="52"/>
      <c r="K42" s="52"/>
      <c r="L42" s="4"/>
      <c r="M42" s="4"/>
      <c r="N42" s="4"/>
      <c r="O42" s="4"/>
      <c r="P42" s="4"/>
      <c r="Q42" s="52"/>
      <c r="R42" s="52"/>
      <c r="S42" s="4"/>
      <c r="T42" s="4"/>
      <c r="U42" s="4"/>
      <c r="V42" s="4"/>
      <c r="W42" s="4"/>
      <c r="X42" s="52"/>
      <c r="Y42" s="52"/>
      <c r="Z42" s="4"/>
      <c r="AA42" s="4"/>
      <c r="AB42" s="4"/>
      <c r="AC42" s="4"/>
      <c r="AD42" s="4"/>
      <c r="AE42" s="52"/>
      <c r="AF42" s="52"/>
      <c r="AG42" s="4"/>
      <c r="AH42" s="4"/>
      <c r="AI42" s="4"/>
      <c r="AJ42" s="4"/>
      <c r="AK42" s="4"/>
      <c r="AL42" s="52"/>
      <c r="AM42" s="52"/>
      <c r="AN42" s="4"/>
      <c r="AO42" s="4"/>
      <c r="AP42" s="4"/>
      <c r="AQ42" s="4"/>
      <c r="AR42" s="4"/>
      <c r="AS42" s="52"/>
      <c r="AT42" s="52"/>
      <c r="AU42" s="4"/>
      <c r="AV42" s="4"/>
      <c r="AW42" s="4"/>
      <c r="AX42" s="4"/>
      <c r="AY42" s="4"/>
      <c r="AZ42" s="52"/>
      <c r="BA42" s="52"/>
      <c r="BB42" s="4"/>
      <c r="BC42" s="4"/>
      <c r="BD42" s="4"/>
      <c r="BE42" s="4"/>
      <c r="BF42" s="41"/>
      <c r="BG42" s="59"/>
      <c r="BH42" s="52"/>
      <c r="BI42" s="4"/>
      <c r="BJ42" s="4"/>
      <c r="BK42" s="4"/>
      <c r="BL42" s="4"/>
      <c r="BM42" s="4"/>
      <c r="BN42" s="52"/>
      <c r="BO42" s="52"/>
      <c r="BP42" s="4"/>
      <c r="BQ42" s="4"/>
      <c r="BR42" s="4"/>
    </row>
    <row r="43" spans="1:70" ht="26" customHeight="1">
      <c r="A43" s="5" t="s">
        <v>132</v>
      </c>
      <c r="B43" s="42" t="s">
        <v>133</v>
      </c>
      <c r="C43" s="5" t="s">
        <v>43</v>
      </c>
      <c r="D43" s="5" t="s">
        <v>53</v>
      </c>
      <c r="E43" s="6">
        <v>46328</v>
      </c>
      <c r="F43" s="19" t="s">
        <v>5</v>
      </c>
      <c r="G43" s="18">
        <v>0</v>
      </c>
      <c r="H43" s="4"/>
      <c r="I43" s="4"/>
      <c r="J43" s="52"/>
      <c r="K43" s="52"/>
      <c r="L43" s="4"/>
      <c r="M43" s="4"/>
      <c r="N43" s="4"/>
      <c r="O43" s="4"/>
      <c r="P43" s="4"/>
      <c r="Q43" s="52"/>
      <c r="R43" s="52"/>
      <c r="S43" s="4"/>
      <c r="T43" s="4"/>
      <c r="U43" s="4"/>
      <c r="V43" s="4"/>
      <c r="W43" s="4"/>
      <c r="X43" s="52"/>
      <c r="Y43" s="52"/>
      <c r="Z43" s="4"/>
      <c r="AA43" s="4"/>
      <c r="AB43" s="4"/>
      <c r="AC43" s="4"/>
      <c r="AD43" s="4"/>
      <c r="AE43" s="52"/>
      <c r="AF43" s="52"/>
      <c r="AG43" s="4"/>
      <c r="AH43" s="4"/>
      <c r="AI43" s="4"/>
      <c r="AJ43" s="4"/>
      <c r="AK43" s="4"/>
      <c r="AL43" s="52"/>
      <c r="AM43" s="52"/>
      <c r="AN43" s="4"/>
      <c r="AO43" s="4"/>
      <c r="AP43" s="4"/>
      <c r="AQ43" s="4"/>
      <c r="AR43" s="4"/>
      <c r="AS43" s="52"/>
      <c r="AT43" s="52"/>
      <c r="AU43" s="4"/>
      <c r="AV43" s="4"/>
      <c r="AW43" s="4"/>
      <c r="AX43" s="4"/>
      <c r="AY43" s="4"/>
      <c r="AZ43" s="52"/>
      <c r="BA43" s="52"/>
      <c r="BB43" s="4"/>
      <c r="BC43" s="4"/>
      <c r="BD43" s="4"/>
      <c r="BE43" s="4"/>
      <c r="BF43" s="4"/>
      <c r="BG43" s="52"/>
      <c r="BH43" s="59"/>
      <c r="BI43" s="41"/>
      <c r="BJ43" s="4"/>
      <c r="BK43" s="4"/>
      <c r="BL43" s="4"/>
      <c r="BM43" s="4"/>
      <c r="BN43" s="52"/>
      <c r="BO43" s="52"/>
      <c r="BP43" s="4"/>
      <c r="BQ43" s="4"/>
      <c r="BR43" s="4"/>
    </row>
    <row r="44" spans="1:70" ht="26" customHeight="1">
      <c r="A44" s="5" t="s">
        <v>134</v>
      </c>
      <c r="B44" s="42" t="s">
        <v>135</v>
      </c>
      <c r="C44" s="5" t="s">
        <v>43</v>
      </c>
      <c r="D44" s="5" t="s">
        <v>50</v>
      </c>
      <c r="E44" s="6">
        <v>46329</v>
      </c>
      <c r="F44" s="19" t="s">
        <v>5</v>
      </c>
      <c r="G44" s="18">
        <v>0</v>
      </c>
      <c r="H44" s="4"/>
      <c r="I44" s="4"/>
      <c r="J44" s="52"/>
      <c r="K44" s="52"/>
      <c r="L44" s="4"/>
      <c r="M44" s="4"/>
      <c r="N44" s="4"/>
      <c r="O44" s="4"/>
      <c r="P44" s="4"/>
      <c r="Q44" s="52"/>
      <c r="R44" s="52"/>
      <c r="S44" s="4"/>
      <c r="T44" s="4"/>
      <c r="U44" s="4"/>
      <c r="V44" s="4"/>
      <c r="W44" s="4"/>
      <c r="X44" s="52"/>
      <c r="Y44" s="52"/>
      <c r="Z44" s="4"/>
      <c r="AA44" s="4"/>
      <c r="AB44" s="4"/>
      <c r="AC44" s="4"/>
      <c r="AD44" s="4"/>
      <c r="AE44" s="52"/>
      <c r="AF44" s="52"/>
      <c r="AG44" s="4"/>
      <c r="AH44" s="4"/>
      <c r="AI44" s="4"/>
      <c r="AJ44" s="4"/>
      <c r="AK44" s="4"/>
      <c r="AL44" s="52"/>
      <c r="AM44" s="52"/>
      <c r="AN44" s="4"/>
      <c r="AO44" s="4"/>
      <c r="AP44" s="4"/>
      <c r="AQ44" s="4"/>
      <c r="AR44" s="4"/>
      <c r="AS44" s="52"/>
      <c r="AT44" s="52"/>
      <c r="AU44" s="4"/>
      <c r="AV44" s="4"/>
      <c r="AW44" s="4"/>
      <c r="AX44" s="4"/>
      <c r="AY44" s="4"/>
      <c r="AZ44" s="52"/>
      <c r="BA44" s="52"/>
      <c r="BB44" s="4"/>
      <c r="BC44" s="4"/>
      <c r="BD44" s="4"/>
      <c r="BE44" s="4"/>
      <c r="BF44" s="4"/>
      <c r="BG44" s="52"/>
      <c r="BH44" s="52"/>
      <c r="BI44" s="4"/>
      <c r="BJ44" s="41"/>
      <c r="BK44" s="4"/>
      <c r="BL44" s="4"/>
      <c r="BM44" s="4"/>
      <c r="BN44" s="52"/>
      <c r="BO44" s="52"/>
      <c r="BP44" s="4"/>
      <c r="BQ44" s="4"/>
      <c r="BR44" s="4"/>
    </row>
    <row r="45" spans="1:70" ht="26" customHeight="1">
      <c r="A45" s="36" t="s">
        <v>136</v>
      </c>
      <c r="B45" s="45" t="s">
        <v>137</v>
      </c>
      <c r="C45" s="36" t="s">
        <v>43</v>
      </c>
      <c r="D45" s="36" t="s">
        <v>121</v>
      </c>
      <c r="E45" s="38">
        <v>46334</v>
      </c>
      <c r="F45" s="36" t="str">
        <f>IF(G45=1,"Đã hoàn thành",IF(G45=0,"Chưa thực hiện","Đang thực hiện"))</f>
        <v>Chưa thực hiện</v>
      </c>
      <c r="G45" s="39">
        <f>AVERAGE(G46,G47,G48)</f>
        <v>0</v>
      </c>
      <c r="H45" s="37"/>
      <c r="I45" s="37"/>
      <c r="J45" s="57"/>
      <c r="K45" s="57"/>
      <c r="L45" s="37"/>
      <c r="M45" s="37"/>
      <c r="N45" s="37"/>
      <c r="O45" s="37"/>
      <c r="P45" s="37"/>
      <c r="Q45" s="57"/>
      <c r="R45" s="57"/>
      <c r="S45" s="37"/>
      <c r="T45" s="37"/>
      <c r="U45" s="37"/>
      <c r="V45" s="37"/>
      <c r="W45" s="37"/>
      <c r="X45" s="57"/>
      <c r="Y45" s="57"/>
      <c r="Z45" s="37"/>
      <c r="AA45" s="37"/>
      <c r="AB45" s="37"/>
      <c r="AC45" s="37"/>
      <c r="AD45" s="37"/>
      <c r="AE45" s="57"/>
      <c r="AF45" s="57"/>
      <c r="AG45" s="37"/>
      <c r="AH45" s="37"/>
      <c r="AI45" s="37"/>
      <c r="AJ45" s="37"/>
      <c r="AK45" s="37"/>
      <c r="AL45" s="57"/>
      <c r="AM45" s="57"/>
      <c r="AN45" s="37"/>
      <c r="AO45" s="37"/>
      <c r="AP45" s="37"/>
      <c r="AQ45" s="37"/>
      <c r="AR45" s="37"/>
      <c r="AS45" s="57"/>
      <c r="AT45" s="57"/>
      <c r="AU45" s="37"/>
      <c r="AV45" s="37"/>
      <c r="AW45" s="37"/>
      <c r="AX45" s="37"/>
      <c r="AY45" s="37"/>
      <c r="AZ45" s="57"/>
      <c r="BA45" s="57"/>
      <c r="BB45" s="37"/>
      <c r="BC45" s="37"/>
      <c r="BD45" s="37"/>
      <c r="BE45" s="37"/>
      <c r="BF45" s="37"/>
      <c r="BG45" s="57"/>
      <c r="BH45" s="57"/>
      <c r="BI45" s="37"/>
      <c r="BJ45" s="37"/>
      <c r="BK45" s="40"/>
      <c r="BL45" s="40"/>
      <c r="BM45" s="40"/>
      <c r="BN45" s="57"/>
      <c r="BO45" s="57"/>
      <c r="BP45" s="37"/>
      <c r="BQ45" s="37"/>
      <c r="BR45" s="37"/>
    </row>
    <row r="46" spans="1:70" ht="26" customHeight="1">
      <c r="A46" s="5" t="s">
        <v>138</v>
      </c>
      <c r="B46" s="42" t="s">
        <v>139</v>
      </c>
      <c r="C46" s="5" t="s">
        <v>43</v>
      </c>
      <c r="D46" s="5" t="s">
        <v>53</v>
      </c>
      <c r="E46" s="6">
        <v>46331</v>
      </c>
      <c r="F46" s="19" t="s">
        <v>5</v>
      </c>
      <c r="G46" s="18">
        <v>0</v>
      </c>
      <c r="H46" s="4"/>
      <c r="I46" s="4"/>
      <c r="J46" s="52"/>
      <c r="K46" s="52"/>
      <c r="L46" s="4"/>
      <c r="M46" s="4"/>
      <c r="N46" s="4"/>
      <c r="O46" s="4"/>
      <c r="P46" s="4"/>
      <c r="Q46" s="52"/>
      <c r="R46" s="52"/>
      <c r="S46" s="4"/>
      <c r="T46" s="4"/>
      <c r="U46" s="4"/>
      <c r="V46" s="4"/>
      <c r="W46" s="4"/>
      <c r="X46" s="52"/>
      <c r="Y46" s="52"/>
      <c r="Z46" s="4"/>
      <c r="AA46" s="4"/>
      <c r="AB46" s="4"/>
      <c r="AC46" s="4"/>
      <c r="AD46" s="4"/>
      <c r="AE46" s="52"/>
      <c r="AF46" s="52"/>
      <c r="AG46" s="4"/>
      <c r="AH46" s="4"/>
      <c r="AI46" s="4"/>
      <c r="AJ46" s="4"/>
      <c r="AK46" s="4"/>
      <c r="AL46" s="52"/>
      <c r="AM46" s="52"/>
      <c r="AN46" s="4"/>
      <c r="AO46" s="4"/>
      <c r="AP46" s="4"/>
      <c r="AQ46" s="4"/>
      <c r="AR46" s="4"/>
      <c r="AS46" s="52"/>
      <c r="AT46" s="52"/>
      <c r="AU46" s="4"/>
      <c r="AV46" s="4"/>
      <c r="AW46" s="4"/>
      <c r="AX46" s="4"/>
      <c r="AY46" s="4"/>
      <c r="AZ46" s="52"/>
      <c r="BA46" s="52"/>
      <c r="BB46" s="4"/>
      <c r="BC46" s="4"/>
      <c r="BD46" s="4"/>
      <c r="BE46" s="4"/>
      <c r="BF46" s="4"/>
      <c r="BG46" s="52"/>
      <c r="BH46" s="52"/>
      <c r="BI46" s="4"/>
      <c r="BJ46" s="4"/>
      <c r="BK46" s="41"/>
      <c r="BL46" s="41"/>
      <c r="BM46" s="4"/>
      <c r="BN46" s="52"/>
      <c r="BO46" s="52"/>
      <c r="BP46" s="4"/>
      <c r="BQ46" s="4"/>
      <c r="BR46" s="4"/>
    </row>
    <row r="47" spans="1:70" ht="26" customHeight="1">
      <c r="A47" s="5" t="s">
        <v>140</v>
      </c>
      <c r="B47" s="42" t="s">
        <v>141</v>
      </c>
      <c r="C47" s="5" t="s">
        <v>43</v>
      </c>
      <c r="D47" s="5" t="s">
        <v>53</v>
      </c>
      <c r="E47" s="6">
        <v>46333</v>
      </c>
      <c r="F47" s="19" t="s">
        <v>5</v>
      </c>
      <c r="G47" s="18">
        <v>0</v>
      </c>
      <c r="H47" s="4"/>
      <c r="I47" s="4"/>
      <c r="J47" s="52"/>
      <c r="K47" s="52"/>
      <c r="L47" s="4"/>
      <c r="M47" s="4"/>
      <c r="N47" s="4"/>
      <c r="O47" s="4"/>
      <c r="P47" s="4"/>
      <c r="Q47" s="52"/>
      <c r="R47" s="52"/>
      <c r="S47" s="4"/>
      <c r="T47" s="4"/>
      <c r="U47" s="4"/>
      <c r="V47" s="4"/>
      <c r="W47" s="4"/>
      <c r="X47" s="52"/>
      <c r="Y47" s="52"/>
      <c r="Z47" s="4"/>
      <c r="AA47" s="4"/>
      <c r="AB47" s="4"/>
      <c r="AC47" s="4"/>
      <c r="AD47" s="4"/>
      <c r="AE47" s="52"/>
      <c r="AF47" s="52"/>
      <c r="AG47" s="4"/>
      <c r="AH47" s="4"/>
      <c r="AI47" s="4"/>
      <c r="AJ47" s="4"/>
      <c r="AK47" s="4"/>
      <c r="AL47" s="52"/>
      <c r="AM47" s="52"/>
      <c r="AN47" s="4"/>
      <c r="AO47" s="4"/>
      <c r="AP47" s="4"/>
      <c r="AQ47" s="4"/>
      <c r="AR47" s="4"/>
      <c r="AS47" s="52"/>
      <c r="AT47" s="52"/>
      <c r="AU47" s="4"/>
      <c r="AV47" s="4"/>
      <c r="AW47" s="4"/>
      <c r="AX47" s="4"/>
      <c r="AY47" s="4"/>
      <c r="AZ47" s="52"/>
      <c r="BA47" s="52"/>
      <c r="BB47" s="4"/>
      <c r="BC47" s="4"/>
      <c r="BD47" s="4"/>
      <c r="BE47" s="4"/>
      <c r="BF47" s="4"/>
      <c r="BG47" s="52"/>
      <c r="BH47" s="52"/>
      <c r="BI47" s="4"/>
      <c r="BJ47" s="4"/>
      <c r="BK47" s="4"/>
      <c r="BL47" s="4"/>
      <c r="BM47" s="41"/>
      <c r="BN47" s="59"/>
      <c r="BO47" s="52"/>
      <c r="BP47" s="4"/>
      <c r="BQ47" s="4"/>
      <c r="BR47" s="4"/>
    </row>
    <row r="48" spans="1:70" ht="26" customHeight="1">
      <c r="A48" s="5" t="s">
        <v>142</v>
      </c>
      <c r="B48" s="42" t="s">
        <v>143</v>
      </c>
      <c r="C48" s="5" t="s">
        <v>43</v>
      </c>
      <c r="D48" s="5" t="s">
        <v>50</v>
      </c>
      <c r="E48" s="6">
        <v>46334</v>
      </c>
      <c r="F48" s="19" t="s">
        <v>5</v>
      </c>
      <c r="G48" s="18">
        <v>0</v>
      </c>
      <c r="H48" s="4"/>
      <c r="I48" s="4"/>
      <c r="J48" s="52"/>
      <c r="K48" s="52"/>
      <c r="L48" s="4"/>
      <c r="M48" s="4"/>
      <c r="N48" s="4"/>
      <c r="O48" s="4"/>
      <c r="P48" s="4"/>
      <c r="Q48" s="52"/>
      <c r="R48" s="52"/>
      <c r="S48" s="4"/>
      <c r="T48" s="4"/>
      <c r="U48" s="4"/>
      <c r="V48" s="4"/>
      <c r="W48" s="4"/>
      <c r="X48" s="52"/>
      <c r="Y48" s="52"/>
      <c r="Z48" s="4"/>
      <c r="AA48" s="4"/>
      <c r="AB48" s="4"/>
      <c r="AC48" s="4"/>
      <c r="AD48" s="4"/>
      <c r="AE48" s="52"/>
      <c r="AF48" s="52"/>
      <c r="AG48" s="4"/>
      <c r="AH48" s="4"/>
      <c r="AI48" s="4"/>
      <c r="AJ48" s="4"/>
      <c r="AK48" s="4"/>
      <c r="AL48" s="52"/>
      <c r="AM48" s="52"/>
      <c r="AN48" s="4"/>
      <c r="AO48" s="4"/>
      <c r="AP48" s="4"/>
      <c r="AQ48" s="4"/>
      <c r="AR48" s="4"/>
      <c r="AS48" s="52"/>
      <c r="AT48" s="52"/>
      <c r="AU48" s="4"/>
      <c r="AV48" s="4"/>
      <c r="AW48" s="4"/>
      <c r="AX48" s="4"/>
      <c r="AY48" s="4"/>
      <c r="AZ48" s="52"/>
      <c r="BA48" s="52"/>
      <c r="BB48" s="4"/>
      <c r="BC48" s="4"/>
      <c r="BD48" s="4"/>
      <c r="BE48" s="4"/>
      <c r="BF48" s="4"/>
      <c r="BG48" s="52"/>
      <c r="BH48" s="52"/>
      <c r="BI48" s="4"/>
      <c r="BJ48" s="4"/>
      <c r="BK48" s="4"/>
      <c r="BL48" s="4"/>
      <c r="BM48" s="4"/>
      <c r="BN48" s="52"/>
      <c r="BO48" s="59"/>
      <c r="BP48" s="4"/>
      <c r="BQ48" s="4"/>
      <c r="BR48" s="4"/>
    </row>
    <row r="49" spans="1:70" ht="26" customHeight="1">
      <c r="A49" s="36" t="s">
        <v>144</v>
      </c>
      <c r="B49" s="45" t="s">
        <v>145</v>
      </c>
      <c r="C49" s="36" t="s">
        <v>43</v>
      </c>
      <c r="D49" s="36" t="s">
        <v>121</v>
      </c>
      <c r="E49" s="38">
        <v>46337</v>
      </c>
      <c r="F49" s="36" t="str">
        <f>IF(G49=1,"Đã hoàn thành",IF(G49=0,"Chưa thực hiện","Đang thực hiện"))</f>
        <v>Chưa thực hiện</v>
      </c>
      <c r="G49" s="39">
        <f>AVERAGE(G50,G51,G52,G53,G54)</f>
        <v>0</v>
      </c>
      <c r="H49" s="37"/>
      <c r="I49" s="37"/>
      <c r="J49" s="57"/>
      <c r="K49" s="57"/>
      <c r="L49" s="37"/>
      <c r="M49" s="37"/>
      <c r="N49" s="37"/>
      <c r="O49" s="37"/>
      <c r="P49" s="37"/>
      <c r="Q49" s="57"/>
      <c r="R49" s="57"/>
      <c r="S49" s="37"/>
      <c r="T49" s="37"/>
      <c r="U49" s="37"/>
      <c r="V49" s="37"/>
      <c r="W49" s="37"/>
      <c r="X49" s="57"/>
      <c r="Y49" s="57"/>
      <c r="Z49" s="37"/>
      <c r="AA49" s="37"/>
      <c r="AB49" s="37"/>
      <c r="AC49" s="37"/>
      <c r="AD49" s="37"/>
      <c r="AE49" s="57"/>
      <c r="AF49" s="57"/>
      <c r="AG49" s="37"/>
      <c r="AH49" s="37"/>
      <c r="AI49" s="37"/>
      <c r="AJ49" s="37"/>
      <c r="AK49" s="37"/>
      <c r="AL49" s="57"/>
      <c r="AM49" s="57"/>
      <c r="AN49" s="37"/>
      <c r="AO49" s="37"/>
      <c r="AP49" s="37"/>
      <c r="AQ49" s="37"/>
      <c r="AR49" s="37"/>
      <c r="AS49" s="57"/>
      <c r="AT49" s="57"/>
      <c r="AU49" s="37"/>
      <c r="AV49" s="37"/>
      <c r="AW49" s="37"/>
      <c r="AX49" s="37"/>
      <c r="AY49" s="37"/>
      <c r="AZ49" s="57"/>
      <c r="BA49" s="57"/>
      <c r="BB49" s="37"/>
      <c r="BC49" s="37"/>
      <c r="BD49" s="37"/>
      <c r="BE49" s="37"/>
      <c r="BF49" s="37"/>
      <c r="BG49" s="57"/>
      <c r="BH49" s="57"/>
      <c r="BI49" s="37"/>
      <c r="BJ49" s="37"/>
      <c r="BK49" s="37"/>
      <c r="BL49" s="37"/>
      <c r="BM49" s="37"/>
      <c r="BN49" s="57"/>
      <c r="BO49" s="57"/>
      <c r="BP49" s="40"/>
      <c r="BQ49" s="40"/>
      <c r="BR49" s="40"/>
    </row>
    <row r="50" spans="1:70" ht="26" customHeight="1">
      <c r="A50" s="5" t="s">
        <v>146</v>
      </c>
      <c r="B50" s="42" t="s">
        <v>147</v>
      </c>
      <c r="C50" s="5" t="s">
        <v>43</v>
      </c>
      <c r="D50" s="5" t="s">
        <v>50</v>
      </c>
      <c r="E50" s="6">
        <v>46335</v>
      </c>
      <c r="F50" s="19" t="s">
        <v>5</v>
      </c>
      <c r="G50" s="18">
        <v>0</v>
      </c>
      <c r="H50" s="4"/>
      <c r="I50" s="4"/>
      <c r="J50" s="52"/>
      <c r="K50" s="52"/>
      <c r="L50" s="4"/>
      <c r="M50" s="4"/>
      <c r="N50" s="4"/>
      <c r="O50" s="4"/>
      <c r="P50" s="4"/>
      <c r="Q50" s="52"/>
      <c r="R50" s="52"/>
      <c r="S50" s="4"/>
      <c r="T50" s="4"/>
      <c r="U50" s="4"/>
      <c r="V50" s="4"/>
      <c r="W50" s="4"/>
      <c r="X50" s="52"/>
      <c r="Y50" s="52"/>
      <c r="Z50" s="4"/>
      <c r="AA50" s="4"/>
      <c r="AB50" s="4"/>
      <c r="AC50" s="4"/>
      <c r="AD50" s="4"/>
      <c r="AE50" s="52"/>
      <c r="AF50" s="52"/>
      <c r="AG50" s="4"/>
      <c r="AH50" s="4"/>
      <c r="AI50" s="4"/>
      <c r="AJ50" s="4"/>
      <c r="AK50" s="4"/>
      <c r="AL50" s="52"/>
      <c r="AM50" s="52"/>
      <c r="AN50" s="4"/>
      <c r="AO50" s="4"/>
      <c r="AP50" s="4"/>
      <c r="AQ50" s="4"/>
      <c r="AR50" s="4"/>
      <c r="AS50" s="52"/>
      <c r="AT50" s="52"/>
      <c r="AU50" s="4"/>
      <c r="AV50" s="4"/>
      <c r="AW50" s="4"/>
      <c r="AX50" s="4"/>
      <c r="AY50" s="4"/>
      <c r="AZ50" s="52"/>
      <c r="BA50" s="52"/>
      <c r="BB50" s="4"/>
      <c r="BC50" s="4"/>
      <c r="BD50" s="4"/>
      <c r="BE50" s="4"/>
      <c r="BF50" s="4"/>
      <c r="BG50" s="52"/>
      <c r="BH50" s="52"/>
      <c r="BI50" s="4"/>
      <c r="BJ50" s="4"/>
      <c r="BK50" s="4"/>
      <c r="BL50" s="4"/>
      <c r="BM50" s="4"/>
      <c r="BN50" s="52"/>
      <c r="BO50" s="52"/>
      <c r="BP50" s="41"/>
      <c r="BQ50" s="4"/>
      <c r="BR50" s="4"/>
    </row>
    <row r="51" spans="1:70" ht="26" customHeight="1">
      <c r="A51" s="5" t="s">
        <v>148</v>
      </c>
      <c r="B51" s="42" t="s">
        <v>149</v>
      </c>
      <c r="C51" s="5" t="s">
        <v>43</v>
      </c>
      <c r="D51" s="5" t="s">
        <v>50</v>
      </c>
      <c r="E51" s="6">
        <v>46335</v>
      </c>
      <c r="F51" s="19" t="s">
        <v>5</v>
      </c>
      <c r="G51" s="18">
        <v>0</v>
      </c>
      <c r="H51" s="4"/>
      <c r="I51" s="4"/>
      <c r="J51" s="52"/>
      <c r="K51" s="52"/>
      <c r="L51" s="4"/>
      <c r="M51" s="4"/>
      <c r="N51" s="4"/>
      <c r="O51" s="4"/>
      <c r="P51" s="4"/>
      <c r="Q51" s="52"/>
      <c r="R51" s="52"/>
      <c r="S51" s="4"/>
      <c r="T51" s="4"/>
      <c r="U51" s="4"/>
      <c r="V51" s="4"/>
      <c r="W51" s="4"/>
      <c r="X51" s="52"/>
      <c r="Y51" s="52"/>
      <c r="Z51" s="4"/>
      <c r="AA51" s="4"/>
      <c r="AB51" s="4"/>
      <c r="AC51" s="4"/>
      <c r="AD51" s="4"/>
      <c r="AE51" s="52"/>
      <c r="AF51" s="52"/>
      <c r="AG51" s="4"/>
      <c r="AH51" s="4"/>
      <c r="AI51" s="4"/>
      <c r="AJ51" s="4"/>
      <c r="AK51" s="4"/>
      <c r="AL51" s="52"/>
      <c r="AM51" s="52"/>
      <c r="AN51" s="4"/>
      <c r="AO51" s="4"/>
      <c r="AP51" s="4"/>
      <c r="AQ51" s="4"/>
      <c r="AR51" s="4"/>
      <c r="AS51" s="52"/>
      <c r="AT51" s="52"/>
      <c r="AU51" s="4"/>
      <c r="AV51" s="4"/>
      <c r="AW51" s="4"/>
      <c r="AX51" s="4"/>
      <c r="AY51" s="4"/>
      <c r="AZ51" s="52"/>
      <c r="BA51" s="52"/>
      <c r="BB51" s="4"/>
      <c r="BC51" s="4"/>
      <c r="BD51" s="4"/>
      <c r="BE51" s="4"/>
      <c r="BF51" s="4"/>
      <c r="BG51" s="52"/>
      <c r="BH51" s="52"/>
      <c r="BI51" s="4"/>
      <c r="BJ51" s="4"/>
      <c r="BK51" s="4"/>
      <c r="BL51" s="4"/>
      <c r="BM51" s="4"/>
      <c r="BN51" s="52"/>
      <c r="BO51" s="52"/>
      <c r="BP51" s="41"/>
      <c r="BQ51" s="4"/>
      <c r="BR51" s="4"/>
    </row>
    <row r="52" spans="1:70" ht="26" customHeight="1">
      <c r="A52" s="5" t="s">
        <v>150</v>
      </c>
      <c r="B52" s="42" t="s">
        <v>151</v>
      </c>
      <c r="C52" s="5" t="s">
        <v>43</v>
      </c>
      <c r="D52" s="5" t="s">
        <v>50</v>
      </c>
      <c r="E52" s="6">
        <v>46336</v>
      </c>
      <c r="F52" s="19" t="s">
        <v>5</v>
      </c>
      <c r="G52" s="18">
        <v>0</v>
      </c>
      <c r="H52" s="4"/>
      <c r="I52" s="4"/>
      <c r="J52" s="52"/>
      <c r="K52" s="52"/>
      <c r="L52" s="4"/>
      <c r="M52" s="4"/>
      <c r="N52" s="4"/>
      <c r="O52" s="4"/>
      <c r="P52" s="4"/>
      <c r="Q52" s="52"/>
      <c r="R52" s="52"/>
      <c r="S52" s="4"/>
      <c r="T52" s="4"/>
      <c r="U52" s="4"/>
      <c r="V52" s="4"/>
      <c r="W52" s="4"/>
      <c r="X52" s="52"/>
      <c r="Y52" s="52"/>
      <c r="Z52" s="4"/>
      <c r="AA52" s="4"/>
      <c r="AB52" s="4"/>
      <c r="AC52" s="4"/>
      <c r="AD52" s="4"/>
      <c r="AE52" s="52"/>
      <c r="AF52" s="52"/>
      <c r="AG52" s="4"/>
      <c r="AH52" s="4"/>
      <c r="AI52" s="4"/>
      <c r="AJ52" s="4"/>
      <c r="AK52" s="4"/>
      <c r="AL52" s="52"/>
      <c r="AM52" s="52"/>
      <c r="AN52" s="4"/>
      <c r="AO52" s="4"/>
      <c r="AP52" s="4"/>
      <c r="AQ52" s="4"/>
      <c r="AR52" s="4"/>
      <c r="AS52" s="52"/>
      <c r="AT52" s="52"/>
      <c r="AU52" s="4"/>
      <c r="AV52" s="4"/>
      <c r="AW52" s="4"/>
      <c r="AX52" s="4"/>
      <c r="AY52" s="4"/>
      <c r="AZ52" s="52"/>
      <c r="BA52" s="52"/>
      <c r="BB52" s="4"/>
      <c r="BC52" s="4"/>
      <c r="BD52" s="4"/>
      <c r="BE52" s="4"/>
      <c r="BF52" s="4"/>
      <c r="BG52" s="52"/>
      <c r="BH52" s="52"/>
      <c r="BI52" s="4"/>
      <c r="BJ52" s="4"/>
      <c r="BK52" s="4"/>
      <c r="BL52" s="4"/>
      <c r="BM52" s="4"/>
      <c r="BN52" s="52"/>
      <c r="BO52" s="52"/>
      <c r="BP52" s="4"/>
      <c r="BQ52" s="41"/>
      <c r="BR52" s="4"/>
    </row>
    <row r="53" spans="1:70" ht="26" customHeight="1">
      <c r="A53" s="5" t="s">
        <v>152</v>
      </c>
      <c r="B53" s="42" t="s">
        <v>153</v>
      </c>
      <c r="C53" s="5" t="s">
        <v>43</v>
      </c>
      <c r="D53" s="5" t="s">
        <v>50</v>
      </c>
      <c r="E53" s="6">
        <v>46336</v>
      </c>
      <c r="F53" s="19" t="s">
        <v>5</v>
      </c>
      <c r="G53" s="18">
        <v>0</v>
      </c>
      <c r="H53" s="4"/>
      <c r="I53" s="4"/>
      <c r="J53" s="52"/>
      <c r="K53" s="52"/>
      <c r="L53" s="4"/>
      <c r="M53" s="4"/>
      <c r="N53" s="4"/>
      <c r="O53" s="4"/>
      <c r="P53" s="4"/>
      <c r="Q53" s="52"/>
      <c r="R53" s="52"/>
      <c r="S53" s="4"/>
      <c r="T53" s="4"/>
      <c r="U53" s="4"/>
      <c r="V53" s="4"/>
      <c r="W53" s="4"/>
      <c r="X53" s="52"/>
      <c r="Y53" s="52"/>
      <c r="Z53" s="4"/>
      <c r="AA53" s="4"/>
      <c r="AB53" s="4"/>
      <c r="AC53" s="4"/>
      <c r="AD53" s="4"/>
      <c r="AE53" s="52"/>
      <c r="AF53" s="52"/>
      <c r="AG53" s="4"/>
      <c r="AH53" s="4"/>
      <c r="AI53" s="4"/>
      <c r="AJ53" s="4"/>
      <c r="AK53" s="4"/>
      <c r="AL53" s="52"/>
      <c r="AM53" s="52"/>
      <c r="AN53" s="4"/>
      <c r="AO53" s="4"/>
      <c r="AP53" s="4"/>
      <c r="AQ53" s="4"/>
      <c r="AR53" s="4"/>
      <c r="AS53" s="52"/>
      <c r="AT53" s="52"/>
      <c r="AU53" s="4"/>
      <c r="AV53" s="4"/>
      <c r="AW53" s="4"/>
      <c r="AX53" s="4"/>
      <c r="AY53" s="4"/>
      <c r="AZ53" s="52"/>
      <c r="BA53" s="52"/>
      <c r="BB53" s="4"/>
      <c r="BC53" s="4"/>
      <c r="BD53" s="4"/>
      <c r="BE53" s="4"/>
      <c r="BF53" s="4"/>
      <c r="BG53" s="52"/>
      <c r="BH53" s="52"/>
      <c r="BI53" s="4"/>
      <c r="BJ53" s="4"/>
      <c r="BK53" s="4"/>
      <c r="BL53" s="4"/>
      <c r="BM53" s="4"/>
      <c r="BN53" s="52"/>
      <c r="BO53" s="52"/>
      <c r="BP53" s="4"/>
      <c r="BQ53" s="41"/>
      <c r="BR53" s="4"/>
    </row>
    <row r="54" spans="1:70" ht="26" customHeight="1">
      <c r="A54" s="5" t="s">
        <v>154</v>
      </c>
      <c r="B54" s="42" t="s">
        <v>155</v>
      </c>
      <c r="C54" s="5" t="s">
        <v>43</v>
      </c>
      <c r="D54" s="5" t="s">
        <v>50</v>
      </c>
      <c r="E54" s="6">
        <v>46337</v>
      </c>
      <c r="F54" s="19" t="s">
        <v>5</v>
      </c>
      <c r="G54" s="18">
        <v>0</v>
      </c>
      <c r="H54" s="4"/>
      <c r="I54" s="4"/>
      <c r="J54" s="52"/>
      <c r="K54" s="52"/>
      <c r="L54" s="4"/>
      <c r="M54" s="4"/>
      <c r="N54" s="4"/>
      <c r="O54" s="4"/>
      <c r="P54" s="4"/>
      <c r="Q54" s="52"/>
      <c r="R54" s="52"/>
      <c r="S54" s="4"/>
      <c r="T54" s="4"/>
      <c r="U54" s="4"/>
      <c r="V54" s="4"/>
      <c r="W54" s="4"/>
      <c r="X54" s="52"/>
      <c r="Y54" s="52"/>
      <c r="Z54" s="4"/>
      <c r="AA54" s="4"/>
      <c r="AB54" s="4"/>
      <c r="AC54" s="4"/>
      <c r="AD54" s="4"/>
      <c r="AE54" s="52"/>
      <c r="AF54" s="52"/>
      <c r="AG54" s="4"/>
      <c r="AH54" s="4"/>
      <c r="AI54" s="4"/>
      <c r="AJ54" s="4"/>
      <c r="AK54" s="4"/>
      <c r="AL54" s="52"/>
      <c r="AM54" s="52"/>
      <c r="AN54" s="4"/>
      <c r="AO54" s="4"/>
      <c r="AP54" s="4"/>
      <c r="AQ54" s="4"/>
      <c r="AR54" s="4"/>
      <c r="AS54" s="52"/>
      <c r="AT54" s="52"/>
      <c r="AU54" s="4"/>
      <c r="AV54" s="4"/>
      <c r="AW54" s="4"/>
      <c r="AX54" s="4"/>
      <c r="AY54" s="4"/>
      <c r="AZ54" s="52"/>
      <c r="BA54" s="52"/>
      <c r="BB54" s="4"/>
      <c r="BC54" s="4"/>
      <c r="BD54" s="4"/>
      <c r="BE54" s="4"/>
      <c r="BF54" s="4"/>
      <c r="BG54" s="52"/>
      <c r="BH54" s="52"/>
      <c r="BI54" s="4"/>
      <c r="BJ54" s="4"/>
      <c r="BK54" s="4"/>
      <c r="BL54" s="4"/>
      <c r="BM54" s="4"/>
      <c r="BN54" s="52"/>
      <c r="BO54" s="52"/>
      <c r="BP54" s="4"/>
      <c r="BQ54" s="4"/>
      <c r="BR54" s="41"/>
    </row>
    <row r="55" spans="1:70" ht="26" customHeight="1">
      <c r="A55" s="36" t="s">
        <v>156</v>
      </c>
      <c r="B55" s="45" t="s">
        <v>157</v>
      </c>
      <c r="C55" s="36" t="s">
        <v>43</v>
      </c>
      <c r="D55" s="36" t="s">
        <v>158</v>
      </c>
      <c r="E55" s="38">
        <v>46337</v>
      </c>
      <c r="F55" s="36" t="str">
        <f>IF(G55=1,"Đã hoàn thành",IF(G55=0,"Chưa thực hiện","Đang thực hiện"))</f>
        <v>Chưa thực hiện</v>
      </c>
      <c r="G55" s="39">
        <f>AVERAGE(G56,G57,G58)</f>
        <v>0</v>
      </c>
      <c r="H55" s="37"/>
      <c r="I55" s="37"/>
      <c r="J55" s="57"/>
      <c r="K55" s="57"/>
      <c r="L55" s="37"/>
      <c r="M55" s="37"/>
      <c r="N55" s="37"/>
      <c r="O55" s="37"/>
      <c r="P55" s="37"/>
      <c r="Q55" s="57"/>
      <c r="R55" s="57"/>
      <c r="S55" s="37"/>
      <c r="T55" s="37"/>
      <c r="U55" s="37"/>
      <c r="V55" s="37"/>
      <c r="W55" s="37"/>
      <c r="X55" s="57"/>
      <c r="Y55" s="57"/>
      <c r="Z55" s="37"/>
      <c r="AA55" s="37"/>
      <c r="AB55" s="37"/>
      <c r="AC55" s="37"/>
      <c r="AD55" s="37"/>
      <c r="AE55" s="57"/>
      <c r="AF55" s="57"/>
      <c r="AG55" s="37"/>
      <c r="AH55" s="37"/>
      <c r="AI55" s="37"/>
      <c r="AJ55" s="37"/>
      <c r="AK55" s="37"/>
      <c r="AL55" s="57"/>
      <c r="AM55" s="57"/>
      <c r="AN55" s="37"/>
      <c r="AO55" s="37"/>
      <c r="AP55" s="37"/>
      <c r="AQ55" s="37"/>
      <c r="AR55" s="37"/>
      <c r="AS55" s="57"/>
      <c r="AT55" s="57"/>
      <c r="AU55" s="37"/>
      <c r="AV55" s="37"/>
      <c r="AW55" s="37"/>
      <c r="AX55" s="37"/>
      <c r="AY55" s="37"/>
      <c r="AZ55" s="57"/>
      <c r="BA55" s="57"/>
      <c r="BB55" s="37"/>
      <c r="BC55" s="37"/>
      <c r="BD55" s="37"/>
      <c r="BE55" s="37"/>
      <c r="BF55" s="37"/>
      <c r="BG55" s="57"/>
      <c r="BH55" s="57"/>
      <c r="BI55" s="37"/>
      <c r="BJ55" s="37"/>
      <c r="BK55" s="37"/>
      <c r="BL55" s="37"/>
      <c r="BM55" s="37"/>
      <c r="BN55" s="57"/>
      <c r="BO55" s="57"/>
      <c r="BP55" s="40"/>
      <c r="BQ55" s="40"/>
      <c r="BR55" s="40"/>
    </row>
    <row r="56" spans="1:70" ht="26" customHeight="1">
      <c r="A56" s="5" t="s">
        <v>159</v>
      </c>
      <c r="B56" s="42" t="s">
        <v>160</v>
      </c>
      <c r="C56" s="5" t="s">
        <v>43</v>
      </c>
      <c r="D56" s="5" t="s">
        <v>50</v>
      </c>
      <c r="E56" s="6">
        <v>46335</v>
      </c>
      <c r="F56" s="19" t="s">
        <v>5</v>
      </c>
      <c r="G56" s="18">
        <v>0</v>
      </c>
      <c r="H56" s="4"/>
      <c r="I56" s="4"/>
      <c r="J56" s="52"/>
      <c r="K56" s="52"/>
      <c r="L56" s="4"/>
      <c r="M56" s="4"/>
      <c r="N56" s="4"/>
      <c r="O56" s="4"/>
      <c r="P56" s="4"/>
      <c r="Q56" s="52"/>
      <c r="R56" s="52"/>
      <c r="S56" s="4"/>
      <c r="T56" s="4"/>
      <c r="U56" s="4"/>
      <c r="V56" s="4"/>
      <c r="W56" s="4"/>
      <c r="X56" s="52"/>
      <c r="Y56" s="52"/>
      <c r="Z56" s="4"/>
      <c r="AA56" s="4"/>
      <c r="AB56" s="4"/>
      <c r="AC56" s="4"/>
      <c r="AD56" s="4"/>
      <c r="AE56" s="52"/>
      <c r="AF56" s="52"/>
      <c r="AG56" s="4"/>
      <c r="AH56" s="4"/>
      <c r="AI56" s="4"/>
      <c r="AJ56" s="4"/>
      <c r="AK56" s="4"/>
      <c r="AL56" s="52"/>
      <c r="AM56" s="52"/>
      <c r="AN56" s="4"/>
      <c r="AO56" s="4"/>
      <c r="AP56" s="4"/>
      <c r="AQ56" s="4"/>
      <c r="AR56" s="4"/>
      <c r="AS56" s="52"/>
      <c r="AT56" s="52"/>
      <c r="AU56" s="4"/>
      <c r="AV56" s="4"/>
      <c r="AW56" s="4"/>
      <c r="AX56" s="4"/>
      <c r="AY56" s="4"/>
      <c r="AZ56" s="52"/>
      <c r="BA56" s="52"/>
      <c r="BB56" s="4"/>
      <c r="BC56" s="4"/>
      <c r="BD56" s="4"/>
      <c r="BE56" s="4"/>
      <c r="BF56" s="4"/>
      <c r="BG56" s="52"/>
      <c r="BH56" s="52"/>
      <c r="BI56" s="4"/>
      <c r="BJ56" s="4"/>
      <c r="BK56" s="4"/>
      <c r="BL56" s="4"/>
      <c r="BM56" s="4"/>
      <c r="BN56" s="52"/>
      <c r="BO56" s="52"/>
      <c r="BP56" s="41"/>
      <c r="BQ56" s="4"/>
      <c r="BR56" s="4"/>
    </row>
    <row r="57" spans="1:70" ht="26" customHeight="1">
      <c r="A57" s="5" t="s">
        <v>161</v>
      </c>
      <c r="B57" s="42" t="s">
        <v>162</v>
      </c>
      <c r="C57" s="5" t="s">
        <v>43</v>
      </c>
      <c r="D57" s="5" t="s">
        <v>53</v>
      </c>
      <c r="E57" s="6">
        <v>46337</v>
      </c>
      <c r="F57" s="19" t="s">
        <v>5</v>
      </c>
      <c r="G57" s="18">
        <v>0</v>
      </c>
      <c r="H57" s="4"/>
      <c r="I57" s="4"/>
      <c r="J57" s="52"/>
      <c r="K57" s="52"/>
      <c r="L57" s="4"/>
      <c r="M57" s="4"/>
      <c r="N57" s="4"/>
      <c r="O57" s="4"/>
      <c r="P57" s="4"/>
      <c r="Q57" s="52"/>
      <c r="R57" s="52"/>
      <c r="S57" s="4"/>
      <c r="T57" s="4"/>
      <c r="U57" s="4"/>
      <c r="V57" s="4"/>
      <c r="W57" s="4"/>
      <c r="X57" s="52"/>
      <c r="Y57" s="52"/>
      <c r="Z57" s="4"/>
      <c r="AA57" s="4"/>
      <c r="AB57" s="4"/>
      <c r="AC57" s="4"/>
      <c r="AD57" s="4"/>
      <c r="AE57" s="52"/>
      <c r="AF57" s="52"/>
      <c r="AG57" s="4"/>
      <c r="AH57" s="4"/>
      <c r="AI57" s="4"/>
      <c r="AJ57" s="4"/>
      <c r="AK57" s="4"/>
      <c r="AL57" s="52"/>
      <c r="AM57" s="52"/>
      <c r="AN57" s="4"/>
      <c r="AO57" s="4"/>
      <c r="AP57" s="4"/>
      <c r="AQ57" s="4"/>
      <c r="AR57" s="4"/>
      <c r="AS57" s="52"/>
      <c r="AT57" s="52"/>
      <c r="AU57" s="4"/>
      <c r="AV57" s="4"/>
      <c r="AW57" s="4"/>
      <c r="AX57" s="4"/>
      <c r="AY57" s="4"/>
      <c r="AZ57" s="52"/>
      <c r="BA57" s="52"/>
      <c r="BB57" s="4"/>
      <c r="BC57" s="4"/>
      <c r="BD57" s="4"/>
      <c r="BE57" s="4"/>
      <c r="BF57" s="4"/>
      <c r="BG57" s="52"/>
      <c r="BH57" s="52"/>
      <c r="BI57" s="4"/>
      <c r="BJ57" s="4"/>
      <c r="BK57" s="4"/>
      <c r="BL57" s="4"/>
      <c r="BM57" s="4"/>
      <c r="BN57" s="52"/>
      <c r="BO57" s="52"/>
      <c r="BP57" s="4"/>
      <c r="BQ57" s="41"/>
      <c r="BR57" s="41"/>
    </row>
    <row r="58" spans="1:70" ht="26" customHeight="1">
      <c r="A58" s="5" t="s">
        <v>163</v>
      </c>
      <c r="B58" s="42" t="s">
        <v>164</v>
      </c>
      <c r="C58" s="5" t="s">
        <v>43</v>
      </c>
      <c r="D58" s="5" t="s">
        <v>50</v>
      </c>
      <c r="E58" s="6">
        <v>46337</v>
      </c>
      <c r="F58" s="19" t="s">
        <v>5</v>
      </c>
      <c r="G58" s="18">
        <v>0</v>
      </c>
      <c r="H58" s="4"/>
      <c r="I58" s="4"/>
      <c r="J58" s="52"/>
      <c r="K58" s="52"/>
      <c r="L58" s="4"/>
      <c r="M58" s="4"/>
      <c r="N58" s="4"/>
      <c r="O58" s="4"/>
      <c r="P58" s="4"/>
      <c r="Q58" s="52"/>
      <c r="R58" s="52"/>
      <c r="S58" s="4"/>
      <c r="T58" s="4"/>
      <c r="U58" s="4"/>
      <c r="V58" s="4"/>
      <c r="W58" s="4"/>
      <c r="X58" s="52"/>
      <c r="Y58" s="52"/>
      <c r="Z58" s="4"/>
      <c r="AA58" s="4"/>
      <c r="AB58" s="4"/>
      <c r="AC58" s="4"/>
      <c r="AD58" s="4"/>
      <c r="AE58" s="52"/>
      <c r="AF58" s="52"/>
      <c r="AG58" s="4"/>
      <c r="AH58" s="4"/>
      <c r="AI58" s="4"/>
      <c r="AJ58" s="4"/>
      <c r="AK58" s="4"/>
      <c r="AL58" s="52"/>
      <c r="AM58" s="52"/>
      <c r="AN58" s="4"/>
      <c r="AO58" s="4"/>
      <c r="AP58" s="4"/>
      <c r="AQ58" s="4"/>
      <c r="AR58" s="4"/>
      <c r="AS58" s="52"/>
      <c r="AT58" s="52"/>
      <c r="AU58" s="4"/>
      <c r="AV58" s="4"/>
      <c r="AW58" s="4"/>
      <c r="AX58" s="4"/>
      <c r="AY58" s="4"/>
      <c r="AZ58" s="52"/>
      <c r="BA58" s="52"/>
      <c r="BB58" s="4"/>
      <c r="BC58" s="4"/>
      <c r="BD58" s="4"/>
      <c r="BE58" s="4"/>
      <c r="BF58" s="4"/>
      <c r="BG58" s="52"/>
      <c r="BH58" s="52"/>
      <c r="BI58" s="4"/>
      <c r="BJ58" s="4"/>
      <c r="BK58" s="4"/>
      <c r="BL58" s="4"/>
      <c r="BM58" s="4"/>
      <c r="BN58" s="52"/>
      <c r="BO58" s="52"/>
      <c r="BP58" s="4"/>
      <c r="BQ58" s="4"/>
      <c r="BR58" s="41"/>
    </row>
  </sheetData>
  <mergeCells count="3">
    <mergeCell ref="H1:AB1"/>
    <mergeCell ref="AC1:BG1"/>
    <mergeCell ref="BH1:BR1"/>
  </mergeCells>
  <conditionalFormatting sqref="G3:G58">
    <cfRule type="dataBar" priority="1">
      <dataBar>
        <cfvo type="min"/>
        <cfvo type="max"/>
        <color rgb="FF5B9BD5"/>
      </dataBar>
    </cfRule>
  </conditionalFormatting>
  <dataValidations count="2">
    <dataValidation type="list" sqref="F3:F58" xr:uid="{00000000-0002-0000-0100-000000000000}">
      <formula1>"Chưa thực hiện,Đang thực hiện,Đã hoàn thành,Bị chặn"</formula1>
    </dataValidation>
    <dataValidation type="decimal" sqref="G3:G58" xr:uid="{00000000-0002-0000-0100-000001000000}">
      <formula1>0</formula1>
      <formula2>1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"/>
  <sheetViews>
    <sheetView showGridLines="0" topLeftCell="A5" workbookViewId="0">
      <selection activeCell="A2" sqref="A2:D2"/>
    </sheetView>
  </sheetViews>
  <sheetFormatPr defaultRowHeight="14"/>
  <cols>
    <col min="1" max="1" width="8" customWidth="1"/>
    <col min="2" max="2" width="22" customWidth="1"/>
    <col min="3" max="3" width="38" customWidth="1"/>
    <col min="4" max="4" width="62" customWidth="1"/>
  </cols>
  <sheetData>
    <row r="1" spans="1:4">
      <c r="A1" s="73" t="s">
        <v>165</v>
      </c>
      <c r="B1" s="71"/>
      <c r="C1" s="71"/>
      <c r="D1" s="71"/>
    </row>
    <row r="2" spans="1:4" ht="14.5" customHeight="1">
      <c r="A2" s="86"/>
      <c r="B2" s="71"/>
      <c r="C2" s="71"/>
      <c r="D2" s="71"/>
    </row>
    <row r="3" spans="1:4">
      <c r="A3" s="64" t="s">
        <v>166</v>
      </c>
      <c r="B3" s="64" t="s">
        <v>167</v>
      </c>
      <c r="C3" s="64" t="s">
        <v>168</v>
      </c>
      <c r="D3" s="64" t="s">
        <v>169</v>
      </c>
    </row>
    <row r="4" spans="1:4" ht="30" customHeight="1">
      <c r="A4" s="65">
        <v>1</v>
      </c>
      <c r="B4" s="66" t="s">
        <v>170</v>
      </c>
      <c r="C4" s="66" t="s">
        <v>171</v>
      </c>
      <c r="D4" s="66" t="s">
        <v>172</v>
      </c>
    </row>
    <row r="5" spans="1:4" ht="30" customHeight="1">
      <c r="A5" s="65">
        <v>2</v>
      </c>
      <c r="B5" s="66" t="s">
        <v>11</v>
      </c>
      <c r="C5" s="66" t="s">
        <v>173</v>
      </c>
      <c r="D5" s="66" t="s">
        <v>174</v>
      </c>
    </row>
    <row r="6" spans="1:4" ht="30" customHeight="1">
      <c r="A6" s="65">
        <v>3</v>
      </c>
      <c r="B6" s="66" t="s">
        <v>175</v>
      </c>
      <c r="C6" s="66" t="s">
        <v>176</v>
      </c>
      <c r="D6" s="66" t="s">
        <v>177</v>
      </c>
    </row>
    <row r="7" spans="1:4" ht="30" customHeight="1">
      <c r="A7" s="65">
        <v>4</v>
      </c>
      <c r="B7" s="66" t="s">
        <v>178</v>
      </c>
      <c r="C7" s="66" t="s">
        <v>179</v>
      </c>
      <c r="D7" s="66" t="s">
        <v>180</v>
      </c>
    </row>
    <row r="8" spans="1:4" ht="30" customHeight="1">
      <c r="A8" s="65">
        <v>5</v>
      </c>
      <c r="B8" s="66" t="s">
        <v>181</v>
      </c>
      <c r="C8" s="66" t="s">
        <v>182</v>
      </c>
      <c r="D8" s="66" t="s">
        <v>183</v>
      </c>
    </row>
    <row r="9" spans="1:4" ht="30" customHeight="1">
      <c r="A9" s="65">
        <v>6</v>
      </c>
      <c r="B9" s="66" t="s">
        <v>184</v>
      </c>
      <c r="C9" s="66" t="s">
        <v>185</v>
      </c>
      <c r="D9" s="66" t="s">
        <v>186</v>
      </c>
    </row>
    <row r="10" spans="1:4" ht="30" customHeight="1">
      <c r="A10" s="65">
        <v>7</v>
      </c>
      <c r="B10" s="66" t="s">
        <v>187</v>
      </c>
      <c r="C10" s="66" t="s">
        <v>188</v>
      </c>
      <c r="D10" s="66" t="s">
        <v>189</v>
      </c>
    </row>
    <row r="11" spans="1:4" ht="30" customHeight="1">
      <c r="A11" s="65">
        <v>8</v>
      </c>
      <c r="B11" s="66" t="s">
        <v>190</v>
      </c>
      <c r="C11" s="66" t="s">
        <v>191</v>
      </c>
      <c r="D11" s="66" t="s">
        <v>192</v>
      </c>
    </row>
    <row r="12" spans="1:4" ht="30" customHeight="1">
      <c r="A12" s="65">
        <v>9</v>
      </c>
      <c r="B12" s="66" t="s">
        <v>193</v>
      </c>
      <c r="C12" s="66" t="s">
        <v>194</v>
      </c>
      <c r="D12" s="66" t="s">
        <v>195</v>
      </c>
    </row>
    <row r="13" spans="1:4" ht="30" customHeight="1">
      <c r="A13" s="65">
        <v>10</v>
      </c>
      <c r="B13" s="66" t="s">
        <v>196</v>
      </c>
      <c r="C13" s="66" t="s">
        <v>197</v>
      </c>
      <c r="D13" s="66" t="s">
        <v>198</v>
      </c>
    </row>
    <row r="14" spans="1:4" ht="30" customHeight="1">
      <c r="A14" s="65">
        <v>11</v>
      </c>
      <c r="B14" s="66" t="s">
        <v>199</v>
      </c>
      <c r="C14" s="66" t="s">
        <v>200</v>
      </c>
      <c r="D14" s="66" t="s">
        <v>201</v>
      </c>
    </row>
    <row r="15" spans="1:4" ht="30" customHeight="1">
      <c r="A15" s="65">
        <v>12</v>
      </c>
      <c r="B15" s="66" t="s">
        <v>202</v>
      </c>
      <c r="C15" s="66" t="s">
        <v>203</v>
      </c>
      <c r="D15" s="66" t="s">
        <v>204</v>
      </c>
    </row>
    <row r="16" spans="1:4" ht="30" customHeight="1">
      <c r="A16" s="65">
        <v>13</v>
      </c>
      <c r="B16" s="66" t="s">
        <v>205</v>
      </c>
      <c r="C16" s="66" t="s">
        <v>206</v>
      </c>
      <c r="D16" s="66" t="s">
        <v>207</v>
      </c>
    </row>
    <row r="17" spans="1:4" ht="30" customHeight="1">
      <c r="A17" s="65">
        <v>14</v>
      </c>
      <c r="B17" s="66" t="s">
        <v>208</v>
      </c>
      <c r="C17" s="66" t="s">
        <v>209</v>
      </c>
      <c r="D17" s="66" t="s">
        <v>210</v>
      </c>
    </row>
    <row r="18" spans="1:4" ht="30" customHeight="1">
      <c r="A18" s="65">
        <v>15</v>
      </c>
      <c r="B18" s="66" t="s">
        <v>211</v>
      </c>
      <c r="C18" s="66" t="s">
        <v>212</v>
      </c>
      <c r="D18" s="66" t="s">
        <v>213</v>
      </c>
    </row>
    <row r="19" spans="1:4" ht="30" customHeight="1">
      <c r="A19" s="65">
        <v>16</v>
      </c>
      <c r="B19" s="66" t="s">
        <v>214</v>
      </c>
      <c r="C19" s="66" t="s">
        <v>215</v>
      </c>
      <c r="D19" s="66" t="s">
        <v>216</v>
      </c>
    </row>
    <row r="20" spans="1:4" ht="30" customHeight="1">
      <c r="A20" s="65">
        <v>17</v>
      </c>
      <c r="B20" s="66" t="s">
        <v>217</v>
      </c>
      <c r="C20" s="66" t="s">
        <v>218</v>
      </c>
      <c r="D20" s="66" t="s">
        <v>219</v>
      </c>
    </row>
  </sheetData>
  <mergeCells count="2">
    <mergeCell ref="A1:D1"/>
    <mergeCell ref="A2:D2"/>
  </mergeCells>
  <conditionalFormatting sqref="A4:D20">
    <cfRule type="containsText" dxfId="6" priority="1" operator="containsText" text="Đang dùng"/>
    <cfRule type="containsText" dxfId="5" priority="2" operator="containsText" text="Chưa làm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9"/>
  <sheetViews>
    <sheetView showGridLines="0" topLeftCell="B7" workbookViewId="0">
      <selection activeCell="A2" sqref="A2:F2"/>
    </sheetView>
  </sheetViews>
  <sheetFormatPr defaultRowHeight="14"/>
  <cols>
    <col min="1" max="1" width="23" customWidth="1"/>
    <col min="2" max="2" width="29" customWidth="1"/>
    <col min="3" max="3" width="42" customWidth="1"/>
    <col min="4" max="4" width="14" customWidth="1"/>
    <col min="5" max="5" width="20" customWidth="1"/>
    <col min="6" max="6" width="36" customWidth="1"/>
  </cols>
  <sheetData>
    <row r="1" spans="1:6">
      <c r="A1" s="73" t="s">
        <v>220</v>
      </c>
      <c r="B1" s="71"/>
      <c r="C1" s="71"/>
      <c r="D1" s="71"/>
      <c r="E1" s="71"/>
      <c r="F1" s="71"/>
    </row>
    <row r="2" spans="1:6" ht="14.5" customHeight="1">
      <c r="A2" s="86"/>
      <c r="B2" s="71"/>
      <c r="C2" s="71"/>
      <c r="D2" s="71"/>
      <c r="E2" s="71"/>
      <c r="F2" s="71"/>
    </row>
    <row r="3" spans="1:6">
      <c r="A3" s="64" t="s">
        <v>221</v>
      </c>
      <c r="B3" s="64" t="s">
        <v>222</v>
      </c>
      <c r="C3" s="64" t="s">
        <v>223</v>
      </c>
      <c r="D3" s="64" t="s">
        <v>224</v>
      </c>
      <c r="E3" s="64" t="s">
        <v>225</v>
      </c>
      <c r="F3" s="64" t="s">
        <v>226</v>
      </c>
    </row>
    <row r="4" spans="1:6" ht="23" customHeight="1">
      <c r="A4" s="66" t="s">
        <v>227</v>
      </c>
      <c r="B4" s="66" t="s">
        <v>228</v>
      </c>
      <c r="C4" s="66" t="s">
        <v>229</v>
      </c>
      <c r="D4" s="65" t="s">
        <v>59</v>
      </c>
      <c r="E4" s="65" t="s">
        <v>3</v>
      </c>
      <c r="F4" s="66" t="s">
        <v>230</v>
      </c>
    </row>
    <row r="5" spans="1:6" ht="23" customHeight="1">
      <c r="A5" s="66" t="s">
        <v>227</v>
      </c>
      <c r="B5" s="66" t="s">
        <v>231</v>
      </c>
      <c r="C5" s="66" t="s">
        <v>232</v>
      </c>
      <c r="D5" s="65" t="s">
        <v>233</v>
      </c>
      <c r="E5" s="65" t="s">
        <v>3</v>
      </c>
      <c r="F5" s="66" t="s">
        <v>234</v>
      </c>
    </row>
    <row r="6" spans="1:6" ht="23" customHeight="1">
      <c r="A6" s="66" t="s">
        <v>227</v>
      </c>
      <c r="B6" s="66" t="s">
        <v>235</v>
      </c>
      <c r="C6" s="66" t="s">
        <v>236</v>
      </c>
      <c r="D6" s="65" t="s">
        <v>59</v>
      </c>
      <c r="E6" s="65" t="s">
        <v>3</v>
      </c>
      <c r="F6" s="66" t="s">
        <v>237</v>
      </c>
    </row>
    <row r="7" spans="1:6" ht="23" customHeight="1">
      <c r="A7" s="66" t="s">
        <v>227</v>
      </c>
      <c r="B7" s="66" t="s">
        <v>238</v>
      </c>
      <c r="C7" s="66" t="s">
        <v>239</v>
      </c>
      <c r="D7" s="65" t="s">
        <v>59</v>
      </c>
      <c r="E7" s="65" t="s">
        <v>3</v>
      </c>
      <c r="F7" s="66" t="s">
        <v>240</v>
      </c>
    </row>
    <row r="8" spans="1:6" ht="23" customHeight="1">
      <c r="A8" s="66" t="s">
        <v>227</v>
      </c>
      <c r="B8" s="66" t="s">
        <v>241</v>
      </c>
      <c r="C8" s="66" t="s">
        <v>242</v>
      </c>
      <c r="D8" s="65" t="s">
        <v>62</v>
      </c>
      <c r="E8" s="65" t="s">
        <v>3</v>
      </c>
      <c r="F8" s="66" t="s">
        <v>243</v>
      </c>
    </row>
    <row r="9" spans="1:6" ht="23" customHeight="1">
      <c r="A9" s="66" t="s">
        <v>227</v>
      </c>
      <c r="B9" s="66" t="s">
        <v>244</v>
      </c>
      <c r="C9" s="66" t="s">
        <v>245</v>
      </c>
      <c r="D9" s="65" t="s">
        <v>62</v>
      </c>
      <c r="E9" s="65" t="s">
        <v>3</v>
      </c>
      <c r="F9" s="66" t="s">
        <v>246</v>
      </c>
    </row>
    <row r="10" spans="1:6" ht="23" customHeight="1">
      <c r="A10" s="66" t="s">
        <v>247</v>
      </c>
      <c r="B10" s="66" t="s">
        <v>248</v>
      </c>
      <c r="C10" s="66" t="s">
        <v>249</v>
      </c>
      <c r="D10" s="65" t="s">
        <v>69</v>
      </c>
      <c r="E10" s="65" t="s">
        <v>3</v>
      </c>
      <c r="F10" s="66" t="s">
        <v>250</v>
      </c>
    </row>
    <row r="11" spans="1:6" ht="23" customHeight="1">
      <c r="A11" s="66" t="s">
        <v>247</v>
      </c>
      <c r="B11" s="66" t="s">
        <v>251</v>
      </c>
      <c r="C11" s="66" t="s">
        <v>252</v>
      </c>
      <c r="D11" s="65" t="s">
        <v>69</v>
      </c>
      <c r="E11" s="65" t="s">
        <v>3</v>
      </c>
      <c r="F11" s="66" t="s">
        <v>250</v>
      </c>
    </row>
    <row r="12" spans="1:6" ht="23" customHeight="1">
      <c r="A12" s="66" t="s">
        <v>247</v>
      </c>
      <c r="B12" s="66" t="s">
        <v>253</v>
      </c>
      <c r="C12" s="66" t="s">
        <v>254</v>
      </c>
      <c r="D12" s="65" t="s">
        <v>69</v>
      </c>
      <c r="E12" s="65" t="s">
        <v>3</v>
      </c>
      <c r="F12" s="66" t="s">
        <v>250</v>
      </c>
    </row>
    <row r="13" spans="1:6" ht="23" customHeight="1">
      <c r="A13" s="66" t="s">
        <v>247</v>
      </c>
      <c r="B13" s="66" t="s">
        <v>255</v>
      </c>
      <c r="C13" s="66" t="s">
        <v>256</v>
      </c>
      <c r="D13" s="65" t="s">
        <v>257</v>
      </c>
      <c r="E13" s="65" t="s">
        <v>3</v>
      </c>
      <c r="F13" s="66" t="s">
        <v>234</v>
      </c>
    </row>
    <row r="14" spans="1:6" ht="23" customHeight="1">
      <c r="A14" s="66" t="s">
        <v>247</v>
      </c>
      <c r="B14" s="66" t="s">
        <v>258</v>
      </c>
      <c r="C14" s="66" t="s">
        <v>259</v>
      </c>
      <c r="D14" s="65" t="s">
        <v>71</v>
      </c>
      <c r="E14" s="65" t="s">
        <v>3</v>
      </c>
      <c r="F14" s="66" t="s">
        <v>260</v>
      </c>
    </row>
    <row r="15" spans="1:6" ht="23" customHeight="1">
      <c r="A15" s="66" t="s">
        <v>247</v>
      </c>
      <c r="B15" s="66" t="s">
        <v>261</v>
      </c>
      <c r="C15" s="66" t="s">
        <v>262</v>
      </c>
      <c r="D15" s="65" t="s">
        <v>71</v>
      </c>
      <c r="E15" s="65" t="s">
        <v>3</v>
      </c>
      <c r="F15" s="66" t="s">
        <v>260</v>
      </c>
    </row>
    <row r="16" spans="1:6" ht="23" customHeight="1">
      <c r="A16" s="66" t="s">
        <v>247</v>
      </c>
      <c r="B16" s="66" t="s">
        <v>263</v>
      </c>
      <c r="C16" s="66" t="s">
        <v>264</v>
      </c>
      <c r="D16" s="65" t="s">
        <v>265</v>
      </c>
      <c r="E16" s="65" t="s">
        <v>3</v>
      </c>
      <c r="F16" s="66" t="s">
        <v>266</v>
      </c>
    </row>
    <row r="17" spans="1:6" ht="23" customHeight="1">
      <c r="A17" s="66" t="s">
        <v>247</v>
      </c>
      <c r="B17" s="66" t="s">
        <v>267</v>
      </c>
      <c r="C17" s="66" t="s">
        <v>268</v>
      </c>
      <c r="D17" s="65" t="s">
        <v>73</v>
      </c>
      <c r="E17" s="65" t="s">
        <v>3</v>
      </c>
      <c r="F17" s="66" t="s">
        <v>269</v>
      </c>
    </row>
    <row r="18" spans="1:6" ht="23" customHeight="1">
      <c r="A18" s="66" t="s">
        <v>247</v>
      </c>
      <c r="B18" s="66" t="s">
        <v>270</v>
      </c>
      <c r="C18" s="66" t="s">
        <v>271</v>
      </c>
      <c r="D18" s="65" t="s">
        <v>73</v>
      </c>
      <c r="E18" s="65" t="s">
        <v>3</v>
      </c>
      <c r="F18" s="66" t="s">
        <v>269</v>
      </c>
    </row>
    <row r="19" spans="1:6" ht="23" customHeight="1">
      <c r="A19" s="66" t="s">
        <v>247</v>
      </c>
      <c r="B19" s="66" t="s">
        <v>272</v>
      </c>
      <c r="C19" s="66" t="s">
        <v>273</v>
      </c>
      <c r="D19" s="65" t="s">
        <v>73</v>
      </c>
      <c r="E19" s="65" t="s">
        <v>3</v>
      </c>
      <c r="F19" s="66" t="s">
        <v>269</v>
      </c>
    </row>
    <row r="20" spans="1:6" ht="23" customHeight="1">
      <c r="A20" s="66" t="s">
        <v>247</v>
      </c>
      <c r="B20" s="66" t="s">
        <v>274</v>
      </c>
      <c r="C20" s="66" t="s">
        <v>275</v>
      </c>
      <c r="D20" s="65" t="s">
        <v>73</v>
      </c>
      <c r="E20" s="65" t="s">
        <v>3</v>
      </c>
      <c r="F20" s="66" t="s">
        <v>269</v>
      </c>
    </row>
    <row r="21" spans="1:6" ht="23" customHeight="1">
      <c r="A21" s="66" t="s">
        <v>276</v>
      </c>
      <c r="B21" s="66" t="s">
        <v>277</v>
      </c>
      <c r="C21" s="66" t="s">
        <v>278</v>
      </c>
      <c r="D21" s="65" t="s">
        <v>101</v>
      </c>
      <c r="E21" s="65" t="s">
        <v>5</v>
      </c>
      <c r="F21" s="66"/>
    </row>
    <row r="22" spans="1:6" ht="23" customHeight="1">
      <c r="A22" s="66" t="s">
        <v>276</v>
      </c>
      <c r="B22" s="66" t="s">
        <v>279</v>
      </c>
      <c r="C22" s="66" t="s">
        <v>280</v>
      </c>
      <c r="D22" s="65" t="s">
        <v>101</v>
      </c>
      <c r="E22" s="65" t="s">
        <v>5</v>
      </c>
      <c r="F22" s="66"/>
    </row>
    <row r="23" spans="1:6" ht="23" customHeight="1">
      <c r="A23" s="66" t="s">
        <v>281</v>
      </c>
      <c r="B23" s="66" t="s">
        <v>282</v>
      </c>
      <c r="C23" s="66" t="s">
        <v>283</v>
      </c>
      <c r="D23" s="65" t="s">
        <v>86</v>
      </c>
      <c r="E23" s="65" t="s">
        <v>3</v>
      </c>
      <c r="F23" s="66" t="s">
        <v>284</v>
      </c>
    </row>
    <row r="24" spans="1:6" ht="23" customHeight="1">
      <c r="A24" s="66" t="s">
        <v>281</v>
      </c>
      <c r="B24" s="66" t="s">
        <v>285</v>
      </c>
      <c r="C24" s="66" t="s">
        <v>286</v>
      </c>
      <c r="D24" s="65" t="s">
        <v>86</v>
      </c>
      <c r="E24" s="65" t="s">
        <v>3</v>
      </c>
      <c r="F24" s="66" t="s">
        <v>284</v>
      </c>
    </row>
    <row r="25" spans="1:6" ht="23" customHeight="1">
      <c r="A25" s="66" t="s">
        <v>281</v>
      </c>
      <c r="B25" s="66" t="s">
        <v>287</v>
      </c>
      <c r="C25" s="66" t="s">
        <v>288</v>
      </c>
      <c r="D25" s="65" t="s">
        <v>86</v>
      </c>
      <c r="E25" s="65" t="s">
        <v>3</v>
      </c>
      <c r="F25" s="66" t="s">
        <v>284</v>
      </c>
    </row>
    <row r="26" spans="1:6" ht="23" customHeight="1">
      <c r="A26" s="66" t="s">
        <v>281</v>
      </c>
      <c r="B26" s="66" t="s">
        <v>289</v>
      </c>
      <c r="C26" s="66" t="s">
        <v>290</v>
      </c>
      <c r="D26" s="65" t="s">
        <v>88</v>
      </c>
      <c r="E26" s="65" t="s">
        <v>3</v>
      </c>
      <c r="F26" s="66" t="s">
        <v>291</v>
      </c>
    </row>
    <row r="27" spans="1:6" ht="23" customHeight="1">
      <c r="A27" s="66" t="s">
        <v>281</v>
      </c>
      <c r="B27" s="66" t="s">
        <v>292</v>
      </c>
      <c r="C27" s="66" t="s">
        <v>293</v>
      </c>
      <c r="D27" s="65" t="s">
        <v>88</v>
      </c>
      <c r="E27" s="65" t="s">
        <v>3</v>
      </c>
      <c r="F27" s="66" t="s">
        <v>291</v>
      </c>
    </row>
    <row r="28" spans="1:6" ht="23" customHeight="1">
      <c r="A28" s="66" t="s">
        <v>281</v>
      </c>
      <c r="B28" s="66" t="s">
        <v>294</v>
      </c>
      <c r="C28" s="66" t="s">
        <v>295</v>
      </c>
      <c r="D28" s="65" t="s">
        <v>88</v>
      </c>
      <c r="E28" s="65" t="s">
        <v>3</v>
      </c>
      <c r="F28" s="66" t="s">
        <v>291</v>
      </c>
    </row>
    <row r="29" spans="1:6" ht="23" customHeight="1">
      <c r="A29" s="66" t="s">
        <v>281</v>
      </c>
      <c r="B29" s="66" t="s">
        <v>296</v>
      </c>
      <c r="C29" s="66" t="s">
        <v>297</v>
      </c>
      <c r="D29" s="65" t="s">
        <v>90</v>
      </c>
      <c r="E29" s="65" t="s">
        <v>3</v>
      </c>
      <c r="F29" s="66" t="s">
        <v>298</v>
      </c>
    </row>
    <row r="30" spans="1:6" ht="23" customHeight="1">
      <c r="A30" s="66" t="s">
        <v>299</v>
      </c>
      <c r="B30" s="66" t="s">
        <v>300</v>
      </c>
      <c r="C30" s="66" t="s">
        <v>301</v>
      </c>
      <c r="D30" s="65" t="s">
        <v>103</v>
      </c>
      <c r="E30" s="65" t="s">
        <v>5</v>
      </c>
      <c r="F30" s="66"/>
    </row>
    <row r="31" spans="1:6" ht="23" customHeight="1">
      <c r="A31" s="66" t="s">
        <v>299</v>
      </c>
      <c r="B31" s="66" t="s">
        <v>302</v>
      </c>
      <c r="C31" s="66" t="s">
        <v>303</v>
      </c>
      <c r="D31" s="65" t="s">
        <v>103</v>
      </c>
      <c r="E31" s="65" t="s">
        <v>5</v>
      </c>
      <c r="F31" s="66"/>
    </row>
    <row r="32" spans="1:6" ht="23" customHeight="1">
      <c r="A32" s="66" t="s">
        <v>299</v>
      </c>
      <c r="B32" s="66" t="s">
        <v>304</v>
      </c>
      <c r="C32" s="66" t="s">
        <v>305</v>
      </c>
      <c r="D32" s="65" t="s">
        <v>306</v>
      </c>
      <c r="E32" s="65" t="s">
        <v>5</v>
      </c>
      <c r="F32" s="66"/>
    </row>
    <row r="33" spans="1:6" ht="23" customHeight="1">
      <c r="A33" s="66" t="s">
        <v>299</v>
      </c>
      <c r="B33" s="66" t="s">
        <v>307</v>
      </c>
      <c r="C33" s="66" t="s">
        <v>308</v>
      </c>
      <c r="D33" s="65" t="s">
        <v>309</v>
      </c>
      <c r="E33" s="65" t="s">
        <v>5</v>
      </c>
      <c r="F33" s="66"/>
    </row>
    <row r="34" spans="1:6" ht="23" customHeight="1">
      <c r="A34" s="66" t="s">
        <v>310</v>
      </c>
      <c r="B34" s="66" t="s">
        <v>311</v>
      </c>
      <c r="C34" s="66" t="s">
        <v>312</v>
      </c>
      <c r="D34" s="65" t="s">
        <v>107</v>
      </c>
      <c r="E34" s="65" t="s">
        <v>5</v>
      </c>
      <c r="F34" s="66"/>
    </row>
    <row r="35" spans="1:6" ht="23" customHeight="1">
      <c r="A35" s="66" t="s">
        <v>310</v>
      </c>
      <c r="B35" s="66" t="s">
        <v>313</v>
      </c>
      <c r="C35" s="66" t="s">
        <v>314</v>
      </c>
      <c r="D35" s="65" t="s">
        <v>107</v>
      </c>
      <c r="E35" s="65" t="s">
        <v>5</v>
      </c>
      <c r="F35" s="66"/>
    </row>
    <row r="36" spans="1:6" ht="23" customHeight="1">
      <c r="A36" s="66" t="s">
        <v>310</v>
      </c>
      <c r="B36" s="66" t="s">
        <v>315</v>
      </c>
      <c r="C36" s="66" t="s">
        <v>316</v>
      </c>
      <c r="D36" s="65" t="s">
        <v>107</v>
      </c>
      <c r="E36" s="65" t="s">
        <v>5</v>
      </c>
      <c r="F36" s="66"/>
    </row>
    <row r="37" spans="1:6" ht="23" customHeight="1">
      <c r="A37" s="66" t="s">
        <v>310</v>
      </c>
      <c r="B37" s="66" t="s">
        <v>317</v>
      </c>
      <c r="C37" s="66" t="s">
        <v>318</v>
      </c>
      <c r="D37" s="65" t="s">
        <v>109</v>
      </c>
      <c r="E37" s="65" t="s">
        <v>5</v>
      </c>
      <c r="F37" s="66"/>
    </row>
    <row r="38" spans="1:6" ht="23" customHeight="1">
      <c r="A38" s="66" t="s">
        <v>319</v>
      </c>
      <c r="B38" s="66" t="s">
        <v>320</v>
      </c>
      <c r="C38" s="66" t="s">
        <v>321</v>
      </c>
      <c r="D38" s="65" t="s">
        <v>77</v>
      </c>
      <c r="E38" s="65" t="s">
        <v>3</v>
      </c>
      <c r="F38" s="66" t="s">
        <v>322</v>
      </c>
    </row>
    <row r="39" spans="1:6" ht="23" customHeight="1">
      <c r="A39" s="66" t="s">
        <v>319</v>
      </c>
      <c r="B39" s="66" t="s">
        <v>323</v>
      </c>
      <c r="C39" s="66" t="s">
        <v>324</v>
      </c>
      <c r="D39" s="65" t="s">
        <v>77</v>
      </c>
      <c r="E39" s="65" t="s">
        <v>3</v>
      </c>
      <c r="F39" s="66" t="s">
        <v>322</v>
      </c>
    </row>
    <row r="40" spans="1:6" ht="23" customHeight="1">
      <c r="A40" s="66" t="s">
        <v>319</v>
      </c>
      <c r="B40" s="66" t="s">
        <v>325</v>
      </c>
      <c r="C40" s="66" t="s">
        <v>326</v>
      </c>
      <c r="D40" s="65" t="s">
        <v>111</v>
      </c>
      <c r="E40" s="65" t="s">
        <v>5</v>
      </c>
      <c r="F40" s="66"/>
    </row>
    <row r="41" spans="1:6" ht="23" customHeight="1">
      <c r="A41" s="66" t="s">
        <v>319</v>
      </c>
      <c r="B41" s="66" t="s">
        <v>327</v>
      </c>
      <c r="C41" s="66" t="s">
        <v>328</v>
      </c>
      <c r="D41" s="65" t="s">
        <v>111</v>
      </c>
      <c r="E41" s="65" t="s">
        <v>5</v>
      </c>
      <c r="F41" s="66"/>
    </row>
    <row r="42" spans="1:6" ht="23" customHeight="1">
      <c r="A42" s="66" t="s">
        <v>319</v>
      </c>
      <c r="B42" s="66" t="s">
        <v>329</v>
      </c>
      <c r="C42" s="66" t="s">
        <v>330</v>
      </c>
      <c r="D42" s="65" t="s">
        <v>77</v>
      </c>
      <c r="E42" s="65" t="s">
        <v>3</v>
      </c>
      <c r="F42" s="66" t="s">
        <v>322</v>
      </c>
    </row>
    <row r="43" spans="1:6" ht="23" customHeight="1">
      <c r="A43" s="66" t="s">
        <v>319</v>
      </c>
      <c r="B43" s="66" t="s">
        <v>331</v>
      </c>
      <c r="C43" s="66" t="s">
        <v>332</v>
      </c>
      <c r="D43" s="65" t="s">
        <v>77</v>
      </c>
      <c r="E43" s="65" t="s">
        <v>3</v>
      </c>
      <c r="F43" s="66" t="s">
        <v>322</v>
      </c>
    </row>
    <row r="44" spans="1:6" ht="23" customHeight="1">
      <c r="A44" s="66" t="s">
        <v>333</v>
      </c>
      <c r="B44" s="66" t="s">
        <v>334</v>
      </c>
      <c r="C44" s="66" t="s">
        <v>335</v>
      </c>
      <c r="D44" s="65" t="s">
        <v>336</v>
      </c>
      <c r="E44" s="65" t="s">
        <v>5</v>
      </c>
      <c r="F44" s="66"/>
    </row>
    <row r="45" spans="1:6" ht="23" customHeight="1">
      <c r="A45" s="66" t="s">
        <v>333</v>
      </c>
      <c r="B45" s="66" t="s">
        <v>337</v>
      </c>
      <c r="C45" s="66" t="s">
        <v>338</v>
      </c>
      <c r="D45" s="65" t="s">
        <v>111</v>
      </c>
      <c r="E45" s="65" t="s">
        <v>5</v>
      </c>
      <c r="F45" s="66"/>
    </row>
    <row r="46" spans="1:6" ht="23" customHeight="1">
      <c r="A46" s="66" t="s">
        <v>333</v>
      </c>
      <c r="B46" s="66" t="s">
        <v>339</v>
      </c>
      <c r="C46" s="66" t="s">
        <v>340</v>
      </c>
      <c r="D46" s="65" t="s">
        <v>111</v>
      </c>
      <c r="E46" s="65" t="s">
        <v>5</v>
      </c>
      <c r="F46" s="66"/>
    </row>
    <row r="47" spans="1:6" ht="23" customHeight="1">
      <c r="A47" s="66" t="s">
        <v>333</v>
      </c>
      <c r="B47" s="66" t="s">
        <v>341</v>
      </c>
      <c r="C47" s="66" t="s">
        <v>342</v>
      </c>
      <c r="D47" s="65" t="s">
        <v>111</v>
      </c>
      <c r="E47" s="65" t="s">
        <v>5</v>
      </c>
      <c r="F47" s="66"/>
    </row>
    <row r="48" spans="1:6" ht="23" customHeight="1">
      <c r="A48" s="66" t="s">
        <v>343</v>
      </c>
      <c r="B48" s="66" t="s">
        <v>344</v>
      </c>
      <c r="C48" s="66" t="s">
        <v>345</v>
      </c>
      <c r="D48" s="65" t="s">
        <v>111</v>
      </c>
      <c r="E48" s="65" t="s">
        <v>5</v>
      </c>
      <c r="F48" s="66"/>
    </row>
    <row r="49" spans="1:6" ht="23" customHeight="1">
      <c r="A49" s="66" t="s">
        <v>343</v>
      </c>
      <c r="B49" s="66" t="s">
        <v>346</v>
      </c>
      <c r="C49" s="66" t="s">
        <v>347</v>
      </c>
      <c r="D49" s="65" t="s">
        <v>111</v>
      </c>
      <c r="E49" s="65" t="s">
        <v>5</v>
      </c>
      <c r="F49" s="66"/>
    </row>
    <row r="50" spans="1:6" ht="23" customHeight="1">
      <c r="A50" s="66" t="s">
        <v>348</v>
      </c>
      <c r="B50" s="66" t="s">
        <v>349</v>
      </c>
      <c r="C50" s="66" t="s">
        <v>350</v>
      </c>
      <c r="D50" s="65" t="s">
        <v>113</v>
      </c>
      <c r="E50" s="65" t="s">
        <v>5</v>
      </c>
      <c r="F50" s="66"/>
    </row>
    <row r="51" spans="1:6" ht="23" customHeight="1">
      <c r="A51" s="66" t="s">
        <v>348</v>
      </c>
      <c r="B51" s="66" t="s">
        <v>351</v>
      </c>
      <c r="C51" s="66" t="s">
        <v>352</v>
      </c>
      <c r="D51" s="65" t="s">
        <v>113</v>
      </c>
      <c r="E51" s="65" t="s">
        <v>5</v>
      </c>
      <c r="F51" s="66"/>
    </row>
    <row r="52" spans="1:6" ht="23" customHeight="1">
      <c r="A52" s="66" t="s">
        <v>353</v>
      </c>
      <c r="B52" s="66" t="s">
        <v>354</v>
      </c>
      <c r="C52" s="66" t="s">
        <v>355</v>
      </c>
      <c r="D52" s="65" t="s">
        <v>113</v>
      </c>
      <c r="E52" s="65" t="s">
        <v>5</v>
      </c>
      <c r="F52" s="66"/>
    </row>
    <row r="53" spans="1:6" ht="23" customHeight="1">
      <c r="A53" s="66" t="s">
        <v>353</v>
      </c>
      <c r="B53" s="66" t="s">
        <v>356</v>
      </c>
      <c r="C53" s="66" t="s">
        <v>357</v>
      </c>
      <c r="D53" s="65" t="s">
        <v>113</v>
      </c>
      <c r="E53" s="65" t="s">
        <v>5</v>
      </c>
      <c r="F53" s="66"/>
    </row>
    <row r="54" spans="1:6" ht="23" customHeight="1">
      <c r="A54" s="66" t="s">
        <v>358</v>
      </c>
      <c r="B54" s="66" t="s">
        <v>359</v>
      </c>
      <c r="C54" s="66" t="s">
        <v>360</v>
      </c>
      <c r="D54" s="65" t="s">
        <v>115</v>
      </c>
      <c r="E54" s="65" t="s">
        <v>5</v>
      </c>
      <c r="F54" s="66"/>
    </row>
    <row r="55" spans="1:6" ht="23" customHeight="1">
      <c r="A55" s="66" t="s">
        <v>358</v>
      </c>
      <c r="B55" s="66" t="s">
        <v>361</v>
      </c>
      <c r="C55" s="66" t="s">
        <v>362</v>
      </c>
      <c r="D55" s="65" t="s">
        <v>115</v>
      </c>
      <c r="E55" s="65" t="s">
        <v>5</v>
      </c>
      <c r="F55" s="66"/>
    </row>
    <row r="56" spans="1:6" ht="23" customHeight="1">
      <c r="A56" s="66" t="s">
        <v>358</v>
      </c>
      <c r="B56" s="66" t="s">
        <v>363</v>
      </c>
      <c r="C56" s="66" t="s">
        <v>364</v>
      </c>
      <c r="D56" s="65" t="s">
        <v>115</v>
      </c>
      <c r="E56" s="65" t="s">
        <v>5</v>
      </c>
      <c r="F56" s="66"/>
    </row>
    <row r="57" spans="1:6" ht="23" customHeight="1">
      <c r="A57" s="66" t="s">
        <v>358</v>
      </c>
      <c r="B57" s="66" t="s">
        <v>365</v>
      </c>
      <c r="C57" s="66" t="s">
        <v>366</v>
      </c>
      <c r="D57" s="65" t="s">
        <v>115</v>
      </c>
      <c r="E57" s="65" t="s">
        <v>5</v>
      </c>
      <c r="F57" s="66"/>
    </row>
    <row r="58" spans="1:6" ht="23" customHeight="1">
      <c r="A58" s="66" t="s">
        <v>367</v>
      </c>
      <c r="B58" s="66" t="s">
        <v>368</v>
      </c>
      <c r="C58" s="66" t="s">
        <v>369</v>
      </c>
      <c r="D58" s="65" t="s">
        <v>370</v>
      </c>
      <c r="E58" s="65" t="s">
        <v>4</v>
      </c>
      <c r="F58" s="66" t="s">
        <v>371</v>
      </c>
    </row>
    <row r="59" spans="1:6" ht="23" customHeight="1">
      <c r="A59" s="66" t="s">
        <v>367</v>
      </c>
      <c r="B59" s="66" t="s">
        <v>372</v>
      </c>
      <c r="C59" s="66" t="s">
        <v>373</v>
      </c>
      <c r="D59" s="65" t="s">
        <v>56</v>
      </c>
      <c r="E59" s="65" t="s">
        <v>3</v>
      </c>
      <c r="F59" s="66" t="s">
        <v>374</v>
      </c>
    </row>
    <row r="60" spans="1:6" ht="23" customHeight="1">
      <c r="A60" s="66" t="s">
        <v>367</v>
      </c>
      <c r="B60" s="66" t="s">
        <v>375</v>
      </c>
      <c r="C60" s="66" t="s">
        <v>376</v>
      </c>
      <c r="D60" s="65" t="s">
        <v>59</v>
      </c>
      <c r="E60" s="65" t="s">
        <v>3</v>
      </c>
      <c r="F60" s="66" t="s">
        <v>374</v>
      </c>
    </row>
    <row r="61" spans="1:6" ht="23" customHeight="1">
      <c r="A61" s="66" t="s">
        <v>367</v>
      </c>
      <c r="B61" s="66" t="s">
        <v>377</v>
      </c>
      <c r="C61" s="66" t="s">
        <v>378</v>
      </c>
      <c r="D61" s="65" t="s">
        <v>59</v>
      </c>
      <c r="E61" s="65" t="s">
        <v>3</v>
      </c>
      <c r="F61" s="66" t="s">
        <v>374</v>
      </c>
    </row>
    <row r="62" spans="1:6" ht="23" customHeight="1">
      <c r="A62" s="66" t="s">
        <v>367</v>
      </c>
      <c r="B62" s="66" t="s">
        <v>379</v>
      </c>
      <c r="C62" s="66" t="s">
        <v>380</v>
      </c>
      <c r="D62" s="65" t="s">
        <v>56</v>
      </c>
      <c r="E62" s="65" t="s">
        <v>3</v>
      </c>
      <c r="F62" s="66" t="s">
        <v>374</v>
      </c>
    </row>
    <row r="63" spans="1:6" ht="23" customHeight="1">
      <c r="A63" s="66" t="s">
        <v>381</v>
      </c>
      <c r="B63" s="66" t="s">
        <v>382</v>
      </c>
      <c r="C63" s="66" t="s">
        <v>383</v>
      </c>
      <c r="D63" s="65" t="s">
        <v>122</v>
      </c>
      <c r="E63" s="65" t="s">
        <v>5</v>
      </c>
      <c r="F63" s="66"/>
    </row>
    <row r="64" spans="1:6" ht="23" customHeight="1">
      <c r="A64" s="66" t="s">
        <v>381</v>
      </c>
      <c r="B64" s="66" t="s">
        <v>384</v>
      </c>
      <c r="C64" s="66" t="s">
        <v>385</v>
      </c>
      <c r="D64" s="65" t="s">
        <v>124</v>
      </c>
      <c r="E64" s="65" t="s">
        <v>5</v>
      </c>
      <c r="F64" s="66"/>
    </row>
    <row r="65" spans="1:6" ht="23" customHeight="1">
      <c r="A65" s="66" t="s">
        <v>381</v>
      </c>
      <c r="B65" s="66" t="s">
        <v>386</v>
      </c>
      <c r="C65" s="66" t="s">
        <v>387</v>
      </c>
      <c r="D65" s="65" t="s">
        <v>126</v>
      </c>
      <c r="E65" s="65" t="s">
        <v>5</v>
      </c>
      <c r="F65" s="66"/>
    </row>
    <row r="66" spans="1:6" ht="23" customHeight="1">
      <c r="A66" s="66" t="s">
        <v>388</v>
      </c>
      <c r="B66" s="66" t="s">
        <v>389</v>
      </c>
      <c r="C66" s="66" t="s">
        <v>390</v>
      </c>
      <c r="D66" s="65" t="s">
        <v>391</v>
      </c>
      <c r="E66" s="65" t="s">
        <v>3</v>
      </c>
      <c r="F66" s="66" t="s">
        <v>392</v>
      </c>
    </row>
    <row r="67" spans="1:6" ht="23" customHeight="1">
      <c r="A67" s="66" t="s">
        <v>388</v>
      </c>
      <c r="B67" s="66" t="s">
        <v>393</v>
      </c>
      <c r="C67" s="66" t="s">
        <v>394</v>
      </c>
      <c r="D67" s="65" t="s">
        <v>75</v>
      </c>
      <c r="E67" s="65" t="s">
        <v>3</v>
      </c>
      <c r="F67" s="66" t="s">
        <v>395</v>
      </c>
    </row>
    <row r="68" spans="1:6" ht="23" customHeight="1">
      <c r="A68" s="66" t="s">
        <v>299</v>
      </c>
      <c r="B68" s="66" t="s">
        <v>396</v>
      </c>
      <c r="C68" s="66" t="s">
        <v>397</v>
      </c>
      <c r="D68" s="65" t="s">
        <v>103</v>
      </c>
      <c r="E68" s="65" t="s">
        <v>5</v>
      </c>
      <c r="F68" s="66"/>
    </row>
    <row r="69" spans="1:6" ht="23" customHeight="1">
      <c r="A69" s="66" t="s">
        <v>398</v>
      </c>
      <c r="B69" s="66" t="s">
        <v>399</v>
      </c>
      <c r="C69" s="66" t="s">
        <v>400</v>
      </c>
      <c r="D69" s="65" t="s">
        <v>134</v>
      </c>
      <c r="E69" s="65" t="s">
        <v>5</v>
      </c>
      <c r="F69" s="66"/>
    </row>
  </sheetData>
  <mergeCells count="2">
    <mergeCell ref="A2:F2"/>
    <mergeCell ref="A1:F1"/>
  </mergeCells>
  <conditionalFormatting sqref="E4:E69">
    <cfRule type="containsText" dxfId="4" priority="1" operator="containsText" text="Đang thực hiện"/>
    <cfRule type="containsText" dxfId="3" priority="2" operator="containsText" text="Đang làm"/>
    <cfRule type="containsText" dxfId="2" priority="3" operator="containsText" text="Đã hoàn thành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9"/>
  <sheetViews>
    <sheetView showGridLines="0" topLeftCell="B1" workbookViewId="0">
      <selection activeCell="E26" sqref="E26"/>
    </sheetView>
  </sheetViews>
  <sheetFormatPr defaultRowHeight="14"/>
  <cols>
    <col min="1" max="1" width="20" customWidth="1"/>
    <col min="2" max="2" width="47" customWidth="1"/>
    <col min="3" max="3" width="19" customWidth="1"/>
    <col min="4" max="4" width="25" customWidth="1"/>
    <col min="5" max="5" width="43" customWidth="1"/>
  </cols>
  <sheetData>
    <row r="1" spans="1:5">
      <c r="A1" s="73" t="s">
        <v>401</v>
      </c>
      <c r="B1" s="71"/>
      <c r="C1" s="71"/>
      <c r="D1" s="71"/>
      <c r="E1" s="71"/>
    </row>
    <row r="2" spans="1:5" ht="14.5" customHeight="1">
      <c r="A2" s="86"/>
      <c r="B2" s="71"/>
      <c r="C2" s="71"/>
      <c r="D2" s="71"/>
      <c r="E2" s="71"/>
    </row>
    <row r="3" spans="1:5" ht="28" customHeight="1">
      <c r="A3" s="64" t="s">
        <v>402</v>
      </c>
      <c r="B3" s="64" t="s">
        <v>403</v>
      </c>
      <c r="C3" s="64" t="s">
        <v>224</v>
      </c>
      <c r="D3" s="64" t="s">
        <v>404</v>
      </c>
      <c r="E3" s="64" t="s">
        <v>405</v>
      </c>
    </row>
    <row r="4" spans="1:5" ht="34" customHeight="1">
      <c r="A4" s="66" t="s">
        <v>406</v>
      </c>
      <c r="B4" s="66" t="s">
        <v>407</v>
      </c>
      <c r="C4" s="65" t="s">
        <v>408</v>
      </c>
      <c r="D4" s="65" t="s">
        <v>409</v>
      </c>
      <c r="E4" s="66" t="s">
        <v>410</v>
      </c>
    </row>
    <row r="5" spans="1:5" ht="34" customHeight="1">
      <c r="A5" s="66" t="s">
        <v>181</v>
      </c>
      <c r="B5" s="66" t="s">
        <v>411</v>
      </c>
      <c r="C5" s="65" t="s">
        <v>412</v>
      </c>
      <c r="D5" s="65" t="s">
        <v>409</v>
      </c>
      <c r="E5" s="66" t="s">
        <v>413</v>
      </c>
    </row>
    <row r="6" spans="1:5" ht="34" customHeight="1">
      <c r="A6" s="66" t="s">
        <v>414</v>
      </c>
      <c r="B6" s="66" t="s">
        <v>415</v>
      </c>
      <c r="C6" s="65" t="s">
        <v>416</v>
      </c>
      <c r="D6" s="65" t="s">
        <v>417</v>
      </c>
      <c r="E6" s="66" t="s">
        <v>418</v>
      </c>
    </row>
    <row r="7" spans="1:5" ht="34" customHeight="1">
      <c r="A7" s="66" t="s">
        <v>419</v>
      </c>
      <c r="B7" s="66" t="s">
        <v>420</v>
      </c>
      <c r="C7" s="65" t="s">
        <v>421</v>
      </c>
      <c r="D7" s="65" t="s">
        <v>417</v>
      </c>
      <c r="E7" s="66" t="s">
        <v>422</v>
      </c>
    </row>
    <row r="8" spans="1:5" ht="34" customHeight="1">
      <c r="A8" s="66" t="s">
        <v>423</v>
      </c>
      <c r="B8" s="66" t="s">
        <v>424</v>
      </c>
      <c r="C8" s="65" t="s">
        <v>425</v>
      </c>
      <c r="D8" s="65" t="s">
        <v>409</v>
      </c>
      <c r="E8" s="66" t="s">
        <v>426</v>
      </c>
    </row>
    <row r="9" spans="1:5" ht="34" customHeight="1">
      <c r="A9" s="66" t="s">
        <v>427</v>
      </c>
      <c r="B9" s="66" t="s">
        <v>428</v>
      </c>
      <c r="C9" s="65" t="s">
        <v>429</v>
      </c>
      <c r="D9" s="65" t="s">
        <v>417</v>
      </c>
      <c r="E9" s="66" t="s">
        <v>430</v>
      </c>
    </row>
    <row r="10" spans="1:5" ht="34" customHeight="1">
      <c r="A10" s="66" t="s">
        <v>431</v>
      </c>
      <c r="B10" s="66" t="s">
        <v>432</v>
      </c>
      <c r="C10" s="65" t="s">
        <v>433</v>
      </c>
      <c r="D10" s="65" t="s">
        <v>434</v>
      </c>
      <c r="E10" s="66" t="s">
        <v>435</v>
      </c>
    </row>
    <row r="11" spans="1:5" ht="34" customHeight="1">
      <c r="A11" s="66" t="s">
        <v>436</v>
      </c>
      <c r="B11" s="66" t="s">
        <v>437</v>
      </c>
      <c r="C11" s="65" t="s">
        <v>336</v>
      </c>
      <c r="D11" s="65" t="s">
        <v>417</v>
      </c>
      <c r="E11" s="66" t="s">
        <v>438</v>
      </c>
    </row>
    <row r="12" spans="1:5" ht="34" customHeight="1">
      <c r="A12" s="66" t="s">
        <v>439</v>
      </c>
      <c r="B12" s="66" t="s">
        <v>440</v>
      </c>
      <c r="C12" s="65" t="s">
        <v>150</v>
      </c>
      <c r="D12" s="65" t="s">
        <v>417</v>
      </c>
      <c r="E12" s="66" t="s">
        <v>441</v>
      </c>
    </row>
    <row r="13" spans="1:5" ht="34" customHeight="1">
      <c r="A13" s="66" t="s">
        <v>442</v>
      </c>
      <c r="B13" s="66" t="s">
        <v>443</v>
      </c>
      <c r="C13" s="65" t="s">
        <v>444</v>
      </c>
      <c r="D13" s="65" t="s">
        <v>434</v>
      </c>
      <c r="E13" s="66" t="s">
        <v>445</v>
      </c>
    </row>
    <row r="14" spans="1:5" ht="34" customHeight="1">
      <c r="A14" s="66" t="s">
        <v>446</v>
      </c>
      <c r="B14" s="66" t="s">
        <v>447</v>
      </c>
      <c r="C14" s="65" t="s">
        <v>448</v>
      </c>
      <c r="D14" s="65" t="s">
        <v>417</v>
      </c>
      <c r="E14" s="66" t="s">
        <v>449</v>
      </c>
    </row>
    <row r="15" spans="1:5" ht="34" customHeight="1">
      <c r="A15" s="66" t="s">
        <v>450</v>
      </c>
      <c r="B15" s="66" t="s">
        <v>451</v>
      </c>
      <c r="C15" s="65" t="s">
        <v>452</v>
      </c>
      <c r="D15" s="65" t="s">
        <v>417</v>
      </c>
      <c r="E15" s="66" t="s">
        <v>453</v>
      </c>
    </row>
    <row r="16" spans="1:5" ht="34" customHeight="1">
      <c r="A16" s="66" t="s">
        <v>454</v>
      </c>
      <c r="B16" s="66" t="s">
        <v>455</v>
      </c>
      <c r="C16" s="65" t="s">
        <v>456</v>
      </c>
      <c r="D16" s="65" t="s">
        <v>434</v>
      </c>
      <c r="E16" s="66" t="s">
        <v>457</v>
      </c>
    </row>
    <row r="17" spans="1:5" ht="34" customHeight="1">
      <c r="A17" s="66" t="s">
        <v>458</v>
      </c>
      <c r="B17" s="66" t="s">
        <v>459</v>
      </c>
      <c r="C17" s="65" t="s">
        <v>460</v>
      </c>
      <c r="D17" s="65" t="s">
        <v>434</v>
      </c>
      <c r="E17" s="66" t="s">
        <v>461</v>
      </c>
    </row>
    <row r="18" spans="1:5" ht="34" customHeight="1">
      <c r="A18" s="66" t="s">
        <v>462</v>
      </c>
      <c r="B18" s="66" t="s">
        <v>463</v>
      </c>
      <c r="C18" s="65" t="s">
        <v>464</v>
      </c>
      <c r="D18" s="65" t="s">
        <v>434</v>
      </c>
      <c r="E18" s="66" t="s">
        <v>465</v>
      </c>
    </row>
    <row r="19" spans="1:5" ht="34" customHeight="1">
      <c r="A19" s="66" t="s">
        <v>466</v>
      </c>
      <c r="B19" s="66" t="s">
        <v>467</v>
      </c>
      <c r="C19" s="65" t="s">
        <v>468</v>
      </c>
      <c r="D19" s="65" t="s">
        <v>417</v>
      </c>
      <c r="E19" s="66" t="s">
        <v>469</v>
      </c>
    </row>
  </sheetData>
  <mergeCells count="2">
    <mergeCell ref="A2:E2"/>
    <mergeCell ref="A1:E1"/>
  </mergeCells>
  <conditionalFormatting sqref="D4:D19">
    <cfRule type="containsText" dxfId="1" priority="1" operator="containsText" text="Đang làm"/>
    <cfRule type="containsText" dxfId="0" priority="2" operator="containsText" text="Đã đưa vào kế hoạch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Plan</vt:lpstr>
      <vt:lpstr>Ha tang</vt:lpstr>
      <vt:lpstr>SQL coverage</vt:lpstr>
      <vt:lpstr>Yeu cau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2026-09-26T01:11:15Z</dcterms:created>
  <dcterms:modified xsi:type="dcterms:W3CDTF">2026-09-26T01:38:14Z</dcterms:modified>
</cp:coreProperties>
</file>